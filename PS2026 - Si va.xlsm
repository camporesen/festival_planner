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uida" sheetId="1" r:id="rId4"/>
    <sheet state="visible" name="Artisti" sheetId="2" r:id="rId5"/>
    <sheet state="visible" name="Dashboard" sheetId="3" r:id="rId6"/>
    <sheet state="visible" name="Config" sheetId="4" r:id="rId7"/>
  </sheets>
  <definedNames/>
  <calcPr/>
  <extLst>
    <ext uri="GoogleSheetsCustomDataVersion2">
      <go:sheetsCustomData xmlns:go="http://customooxmlschemas.google.com/" r:id="rId8" roundtripDataChecksum="DgBi/8TWZ6dMxOHIg9m84taNNBKfQNJwAvSTwQp39WY="/>
    </ext>
  </extLst>
</workbook>
</file>

<file path=xl/sharedStrings.xml><?xml version="1.0" encoding="utf-8"?>
<sst xmlns="http://schemas.openxmlformats.org/spreadsheetml/2006/main" count="962" uniqueCount="233">
  <si>
    <t>Primavera Sound Barcelona 2026 – planner intelligente</t>
  </si>
  <si>
    <t>Cosa c'è dentro</t>
  </si>
  <si>
    <t>Questo file include i 150 artisti del poster day-by-day 3–7 giugno 2026 (Opening Day, festival principale e Primavera Bits). Non include il programma parallelo Primavera a la Ciutat, che ha venue e orari separati.</t>
  </si>
  <si>
    <t>Come usarlo</t>
  </si>
  <si>
    <t>1) Tu compili Interesse / Priorità / Curiosità / Già visto nelle colonne 'tuo'. 2) Gimbo compila le sue colonne. 3) Se volete, cambiate i pesi nel foglio Config. 4) Quando escono gli orari, compilate Orario inizio / fine e Palco. 5) Filtrate per 'Da vedere? = SI' e ordinate per Score finale.</t>
  </si>
  <si>
    <t>Score</t>
  </si>
  <si>
    <t>Lo score usa le medie pesate dei vostri voti e i pesi del foglio Config. Se uno dei due lascia una cella vuota, conta solo il voto dell'altro.</t>
  </si>
  <si>
    <t>Conflitti</t>
  </si>
  <si>
    <t>La colonna 'Conflitto orario' segnala automaticamente le sovrapposizioni nello stesso giorno quando inserite gli orari.</t>
  </si>
  <si>
    <t>Trucchetto</t>
  </si>
  <si>
    <t>Le colonne Interesse/Priorità/Curiosità pesate servono come riferimento rapido per capire dove siete allineati o lontani.</t>
  </si>
  <si>
    <t>Data</t>
  </si>
  <si>
    <t>Giorno</t>
  </si>
  <si>
    <t>Tipo evento</t>
  </si>
  <si>
    <t>Billing / artista</t>
  </si>
  <si>
    <t>Interesse Campo (1-10)</t>
  </si>
  <si>
    <t>Priorità Campo (1-5)</t>
  </si>
  <si>
    <t>Curiosità Campo (1-5)</t>
  </si>
  <si>
    <t>Già visto Campo?</t>
  </si>
  <si>
    <t>Interesse Gimbo (1-10)</t>
  </si>
  <si>
    <t>Priorità Gimbo (1-5)</t>
  </si>
  <si>
    <t>Curiosità Gimbo (1-5)</t>
  </si>
  <si>
    <t>Già visto Gimbo?</t>
  </si>
  <si>
    <t>Interesse pesato</t>
  </si>
  <si>
    <t>Priorità pesata</t>
  </si>
  <si>
    <t>Curiosità pesata</t>
  </si>
  <si>
    <t>Bonus mai visto pesato</t>
  </si>
  <si>
    <t>Orario inizio</t>
  </si>
  <si>
    <t>Orario fine</t>
  </si>
  <si>
    <t>Palco</t>
  </si>
  <si>
    <t>Score finale</t>
  </si>
  <si>
    <t>Categoria</t>
  </si>
  <si>
    <t>Da vedere?</t>
  </si>
  <si>
    <t>Conflitto orario</t>
  </si>
  <si>
    <t>Rank giorno</t>
  </si>
  <si>
    <t>Note</t>
  </si>
  <si>
    <t>Fonte lineup</t>
  </si>
  <si>
    <t>Fonte day-by-day</t>
  </si>
  <si>
    <t>Mercoledì</t>
  </si>
  <si>
    <t>Opening Day (free access)</t>
  </si>
  <si>
    <t>Guitarricadelafuente</t>
  </si>
  <si>
    <t>https://www.primaverasound.com/en/barcelona/lineup</t>
  </si>
  <si>
    <t>https://www.primaverasound.com/en/news/primavera-sound-barcelona-2026-desvela-su-cartel-por-dias-subrayando-su-inconfundible-singularidad</t>
  </si>
  <si>
    <t>Ouineta</t>
  </si>
  <si>
    <t>Wet Leg</t>
  </si>
  <si>
    <t>Yard Act</t>
  </si>
  <si>
    <t>Giovedì</t>
  </si>
  <si>
    <t>Festival</t>
  </si>
  <si>
    <t>¥ØU$UK€ ¥UK1MAT$U</t>
  </si>
  <si>
    <t>No</t>
  </si>
  <si>
    <t>2hollis</t>
  </si>
  <si>
    <t>Agriculture</t>
  </si>
  <si>
    <t>Ahadadream</t>
  </si>
  <si>
    <t>Aiko el Grupo</t>
  </si>
  <si>
    <t>Alex G</t>
  </si>
  <si>
    <t>Sì</t>
  </si>
  <si>
    <t>Anthony Naples</t>
  </si>
  <si>
    <t>Bad Gyal</t>
  </si>
  <si>
    <t>BAMBI</t>
  </si>
  <si>
    <t>Ben UFO</t>
  </si>
  <si>
    <t>berlioz</t>
  </si>
  <si>
    <t>Blood Orange</t>
  </si>
  <si>
    <t>Brìghde Chaimbeul</t>
  </si>
  <si>
    <t>Cameron Winter</t>
  </si>
  <si>
    <t>caroline</t>
  </si>
  <si>
    <t>Doja Cat</t>
  </si>
  <si>
    <t>Father John Misty</t>
  </si>
  <si>
    <t>Fcukers</t>
  </si>
  <si>
    <t>Florence Road</t>
  </si>
  <si>
    <t>Geese</t>
  </si>
  <si>
    <t>Gisela João</t>
  </si>
  <si>
    <t>Guedra Guedra</t>
  </si>
  <si>
    <t>Hypnosis Therapy</t>
  </si>
  <si>
    <t>LaBlackie</t>
  </si>
  <si>
    <t>Lucrecia Dalt</t>
  </si>
  <si>
    <t>Mac DeMarco</t>
  </si>
  <si>
    <t>Malibu</t>
  </si>
  <si>
    <t>Massive Attack</t>
  </si>
  <si>
    <t>Melt-Banana</t>
  </si>
  <si>
    <t>Men I Trust</t>
  </si>
  <si>
    <t>neska</t>
  </si>
  <si>
    <t>NEW YORK</t>
  </si>
  <si>
    <t>Oklou</t>
  </si>
  <si>
    <t>Oli XL Live</t>
  </si>
  <si>
    <t>Overmono</t>
  </si>
  <si>
    <t>Panda Bear</t>
  </si>
  <si>
    <t>Paus</t>
  </si>
  <si>
    <t>Raly</t>
  </si>
  <si>
    <t>Ravyn Lenae</t>
  </si>
  <si>
    <t>Renaldo &amp; Clara</t>
  </si>
  <si>
    <t>Rojuu</t>
  </si>
  <si>
    <t>Sama Yax</t>
  </si>
  <si>
    <t>Six Sex</t>
  </si>
  <si>
    <t>Skullcrusher</t>
  </si>
  <si>
    <t>The New Eves</t>
  </si>
  <si>
    <t>TV Girl</t>
  </si>
  <si>
    <t>VVV [Trippin'you]</t>
  </si>
  <si>
    <t>Venerdì</t>
  </si>
  <si>
    <t>.bd.</t>
  </si>
  <si>
    <t>Addison Rae</t>
  </si>
  <si>
    <t>Amaarae</t>
  </si>
  <si>
    <t>Annahstasia</t>
  </si>
  <si>
    <t>Aurora Halal</t>
  </si>
  <si>
    <t>Buscabulla</t>
  </si>
  <si>
    <t>Call Super</t>
  </si>
  <si>
    <t>Cara Delevingne</t>
  </si>
  <si>
    <t>Disobey</t>
  </si>
  <si>
    <t>DJ Kootl</t>
  </si>
  <si>
    <t>Einstürzende Neubauten</t>
  </si>
  <si>
    <t>Ethel Cain</t>
  </si>
  <si>
    <t>fakemink</t>
  </si>
  <si>
    <t>Iglooghost</t>
  </si>
  <si>
    <t>JADE</t>
  </si>
  <si>
    <t>Joan La Barbara</t>
  </si>
  <si>
    <t>Juicy BAE</t>
  </si>
  <si>
    <t>KI/KI</t>
  </si>
  <si>
    <t>Kylesa</t>
  </si>
  <si>
    <t>Las Petunias</t>
  </si>
  <si>
    <t>Malena</t>
  </si>
  <si>
    <t>Marc Piñol</t>
  </si>
  <si>
    <t>mark william lewis</t>
  </si>
  <si>
    <t>Matmos</t>
  </si>
  <si>
    <t>Merzbow</t>
  </si>
  <si>
    <t>Mohammad Reza Mortazavi</t>
  </si>
  <si>
    <t>NewDad</t>
  </si>
  <si>
    <t>Ósserp</t>
  </si>
  <si>
    <t>Pavvla</t>
  </si>
  <si>
    <t>PinkPantheress</t>
  </si>
  <si>
    <t>Powder</t>
  </si>
  <si>
    <t>Ralphie Choo</t>
  </si>
  <si>
    <t>Rashad Becker</t>
  </si>
  <si>
    <t>Raya Diplomática</t>
  </si>
  <si>
    <t>Rilo Kiley</t>
  </si>
  <si>
    <t>Role Model</t>
  </si>
  <si>
    <t>Roza Terenzi Live</t>
  </si>
  <si>
    <t>Sama’ Abdulhadi</t>
  </si>
  <si>
    <t>Shlohmo</t>
  </si>
  <si>
    <t>Skrillex</t>
  </si>
  <si>
    <t>Slowdive</t>
  </si>
  <si>
    <t>Somos la Herencia</t>
  </si>
  <si>
    <t>Texas Is The Reason</t>
  </si>
  <si>
    <t>The Cure</t>
  </si>
  <si>
    <t>Underground Resistance</t>
  </si>
  <si>
    <t>Viagra Boys</t>
  </si>
  <si>
    <t>Water From Your Eyes</t>
  </si>
  <si>
    <t>Sabato</t>
  </si>
  <si>
    <t>A Guy Called Gerald Live</t>
  </si>
  <si>
    <t>Anna von Hausswolff</t>
  </si>
  <si>
    <t>Ashnikko</t>
  </si>
  <si>
    <t>Barry B</t>
  </si>
  <si>
    <t>Baxter Dury</t>
  </si>
  <si>
    <t>Beatrice M.</t>
  </si>
  <si>
    <t>Bestia Bebé</t>
  </si>
  <si>
    <t>Beverly Glenn-Copeland and Elizabeth Copeland</t>
  </si>
  <si>
    <t>Big Thief</t>
  </si>
  <si>
    <t>Depresión Sonora</t>
  </si>
  <si>
    <t>Dijon</t>
  </si>
  <si>
    <t>DJ Marcelle</t>
  </si>
  <si>
    <t>DJ Nobu</t>
  </si>
  <si>
    <t>Ecco2k</t>
  </si>
  <si>
    <t>Femtanyl</t>
  </si>
  <si>
    <t>Florentino b2b dj g2g</t>
  </si>
  <si>
    <t>Gelli Haha</t>
  </si>
  <si>
    <t>Gorillaz</t>
  </si>
  <si>
    <t>Grace Ives</t>
  </si>
  <si>
    <t>JASSS</t>
  </si>
  <si>
    <t>Jimena Amarillo</t>
  </si>
  <si>
    <t>Joey Valence &amp; Brae</t>
  </si>
  <si>
    <t>KNEECAP</t>
  </si>
  <si>
    <t>Knocked Loose</t>
  </si>
  <si>
    <t>Lambrini Girls</t>
  </si>
  <si>
    <t>Lechuga Zafiro &amp; Verraco: Hyperverbena</t>
  </si>
  <si>
    <t>Little Simz</t>
  </si>
  <si>
    <t>M8NSE</t>
  </si>
  <si>
    <t>MARINA</t>
  </si>
  <si>
    <t>Mechatok Live</t>
  </si>
  <si>
    <t>my bloody valentine</t>
  </si>
  <si>
    <t>Nick León Live</t>
  </si>
  <si>
    <t>Ninajirachi</t>
  </si>
  <si>
    <t>Peggy Gou</t>
  </si>
  <si>
    <t>res_</t>
  </si>
  <si>
    <t>rusowsky</t>
  </si>
  <si>
    <t>Safety Trance Live AV</t>
  </si>
  <si>
    <t>Shackleton Live</t>
  </si>
  <si>
    <t>Smerz</t>
  </si>
  <si>
    <t>Sofia</t>
  </si>
  <si>
    <t>st.frances</t>
  </si>
  <si>
    <t>Sudan Archives</t>
  </si>
  <si>
    <t>The Sophs</t>
  </si>
  <si>
    <t>The xx</t>
  </si>
  <si>
    <t>These New Puritans</t>
  </si>
  <si>
    <t>Touché Amoré</t>
  </si>
  <si>
    <t>u.r.trax Live</t>
  </si>
  <si>
    <t>Ven'nus</t>
  </si>
  <si>
    <t>Domenica</t>
  </si>
  <si>
    <t>Primavera Bits</t>
  </si>
  <si>
    <t>BLOND:ISH</t>
  </si>
  <si>
    <t>https://www.primaverasound.com/en/barcelona/primavera-bits</t>
  </si>
  <si>
    <t>Carl Cox</t>
  </si>
  <si>
    <t>Greta</t>
  </si>
  <si>
    <t>Joseph Capriati</t>
  </si>
  <si>
    <t>Dashboard rapido</t>
  </si>
  <si>
    <t>Artisti totali</t>
  </si>
  <si>
    <t>Artisti valutati</t>
  </si>
  <si>
    <t>MUST SEE</t>
  </si>
  <si>
    <t>Da vedere? = SI</t>
  </si>
  <si>
    <t>Conflitti compilati</t>
  </si>
  <si>
    <t>Media tuo interesse</t>
  </si>
  <si>
    <t>Media interesse Gimbo</t>
  </si>
  <si>
    <t>Riepilogo per giorno</t>
  </si>
  <si>
    <t>Totale</t>
  </si>
  <si>
    <t>Valutati</t>
  </si>
  <si>
    <t>SI</t>
  </si>
  <si>
    <t>Controlli del planner</t>
  </si>
  <si>
    <t>Peso Interesse</t>
  </si>
  <si>
    <t>Più alto = conta di più il gusto complessivo</t>
  </si>
  <si>
    <t>Peso Priorità</t>
  </si>
  <si>
    <t>Più alto = conta di più la rarità / importanza strategica</t>
  </si>
  <si>
    <t>Peso Curiosità</t>
  </si>
  <si>
    <t>Bonus per artisti che volete approfondire</t>
  </si>
  <si>
    <t>Bonus mai visto</t>
  </si>
  <si>
    <t>Si applica in modo pesato se uno o entrambi non l'hanno mai visto</t>
  </si>
  <si>
    <t/>
  </si>
  <si>
    <t>Soglia MUST SEE</t>
  </si>
  <si>
    <t>Score da cui l'artista diventa imperdibile</t>
  </si>
  <si>
    <t>Soglia ALTO</t>
  </si>
  <si>
    <t>Score da cui diventa priorità alta</t>
  </si>
  <si>
    <t>Soglia VALUTA</t>
  </si>
  <si>
    <t>Score minimo per 'SI' in Da vedere?</t>
  </si>
  <si>
    <t>Peso tuo voto</t>
  </si>
  <si>
    <t>Aumentalo se vuoi che il tuo voto conti di più nel calcolo pesato</t>
  </si>
  <si>
    <t>Peso voto Gimbo</t>
  </si>
  <si>
    <t>Aumentalo se volete dare più peso ai voti di Gimbo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</si>
</sst>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/mm/yyyy"/>
    <numFmt numFmtId="165" formatCode="0.0"/>
    <numFmt numFmtId="166" formatCode="hh:mm"/>
  </numFmts>
  <fonts count="13">
    <font>
      <sz val="11.0"/>
      <color theme="1"/>
      <name val="Calibri"/>
      <scheme val="minor"/>
    </font>
    <font>
      <b/>
      <sz val="16.0"/>
      <color rgb="FFFFFFFF"/>
      <name val="Calibri"/>
      <scheme val="minor"/>
    </font>
    <font/>
    <font>
      <b/>
      <color rgb="FF1F2937"/>
      <name val="Calibri"/>
      <scheme val="minor"/>
    </font>
    <font>
      <sz val="11.0"/>
      <color theme="1"/>
      <name val="Calibri"/>
    </font>
    <font>
      <b/>
      <color rgb="FFFFFFFF"/>
      <name val="Calibri"/>
      <scheme val="minor"/>
    </font>
    <font>
      <b/>
      <color theme="1"/>
      <name val="Calibri"/>
      <scheme val="minor"/>
    </font>
    <font>
      <color theme="1"/>
      <name val="Calibri"/>
      <scheme val="minor"/>
    </font>
    <font>
      <b/>
      <sz val="14.0"/>
      <color rgb="FFFFFFFF"/>
      <name val="Calibri"/>
      <scheme val="minor"/>
    </font>
    <font>
      <color rgb="FF666666"/>
      <name val="Calibri"/>
      <scheme val="minor"/>
    </font>
    <font>
      <color rgb="FF0000FF"/>
      <name val="Calibri"/>
      <scheme val="minor"/>
    </font>
    <font>
      <i/>
      <color rgb="FF666666"/>
      <name val="Calibri"/>
      <scheme val="minor"/>
    </font>
    <font>
      <sz val="12.0"/>
      <color theme="10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1F2937"/>
        <bgColor rgb="FF1F2937"/>
      </patternFill>
    </fill>
    <fill>
      <patternFill patternType="solid">
        <fgColor rgb="FFE4DFEC"/>
        <bgColor rgb="FFE4DFEC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</fills>
  <borders count="5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</borders>
  <cellStyleXfs count="1">
    <xf borderId="0" fillId="0" fontId="0" numFmtId="0" applyAlignment="1" applyFont="1"/>
  </cellStyleXfs>
  <cellXfs count="2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left"/>
    </xf>
    <xf borderId="2" fillId="0" fontId="2" numFmtId="0" xfId="0" applyBorder="1" applyFont="1"/>
    <xf borderId="3" fillId="0" fontId="2" numFmtId="0" xfId="0" applyBorder="1" applyFont="1"/>
    <xf borderId="0" fillId="0" fontId="3" numFmtId="0" xfId="0" applyFont="1"/>
    <xf borderId="0" fillId="0" fontId="4" numFmtId="0" xfId="0" applyAlignment="1" applyFont="1">
      <alignment shrinkToFit="0" vertical="top" wrapText="1"/>
    </xf>
    <xf borderId="4" fillId="3" fontId="5" numFmtId="0" xfId="0" applyAlignment="1" applyBorder="1" applyFill="1" applyFont="1">
      <alignment horizontal="center" shrinkToFit="0" vertical="center" wrapText="1"/>
    </xf>
    <xf borderId="4" fillId="3" fontId="5" numFmtId="0" xfId="0" applyAlignment="1" applyBorder="1" applyFont="1">
      <alignment horizontal="center" readingOrder="0" shrinkToFit="0" vertical="center" wrapText="1"/>
    </xf>
    <xf borderId="4" fillId="3" fontId="6" numFmtId="0" xfId="0" applyAlignment="1" applyBorder="1" applyFont="1">
      <alignment horizontal="center" shrinkToFit="0" vertical="center" wrapText="1"/>
    </xf>
    <xf borderId="0" fillId="0" fontId="4" numFmtId="164" xfId="0" applyFont="1" applyNumberFormat="1"/>
    <xf borderId="0" fillId="0" fontId="7" numFmtId="0" xfId="0" applyFont="1"/>
    <xf borderId="0" fillId="0" fontId="4" numFmtId="165" xfId="0" applyFont="1" applyNumberFormat="1"/>
    <xf borderId="0" fillId="0" fontId="4" numFmtId="166" xfId="0" applyFont="1" applyNumberFormat="1"/>
    <xf borderId="0" fillId="0" fontId="4" numFmtId="165" xfId="0" applyFont="1" applyNumberFormat="1"/>
    <xf borderId="0" fillId="0" fontId="7" numFmtId="0" xfId="0" applyFont="1"/>
    <xf borderId="0" fillId="0" fontId="7" numFmtId="0" xfId="0" applyAlignment="1" applyFont="1">
      <alignment readingOrder="0"/>
    </xf>
    <xf borderId="4" fillId="4" fontId="6" numFmtId="0" xfId="0" applyAlignment="1" applyBorder="1" applyFill="1" applyFont="1">
      <alignment horizontal="center"/>
    </xf>
    <xf borderId="1" fillId="2" fontId="5" numFmtId="0" xfId="0" applyBorder="1" applyFont="1"/>
    <xf borderId="4" fillId="3" fontId="6" numFmtId="0" xfId="0" applyBorder="1" applyFont="1"/>
    <xf borderId="0" fillId="0" fontId="4" numFmtId="164" xfId="0" applyFont="1" applyNumberFormat="1"/>
    <xf borderId="0" fillId="0" fontId="4" numFmtId="0" xfId="0" applyAlignment="1" applyFont="1">
      <alignment shrinkToFit="0" wrapText="1"/>
    </xf>
    <xf borderId="1" fillId="2" fontId="8" numFmtId="0" xfId="0" applyAlignment="1" applyBorder="1" applyFont="1">
      <alignment horizontal="left"/>
    </xf>
    <xf borderId="0" fillId="0" fontId="9" numFmtId="0" xfId="0" applyFont="1"/>
    <xf borderId="4" fillId="5" fontId="10" numFmtId="0" xfId="0" applyBorder="1" applyFill="1" applyFont="1"/>
    <xf borderId="0" fillId="0" fontId="11" numFmtId="0" xfId="0" applyFont="1"/>
    <xf borderId="4" fillId="5" fontId="10" numFmtId="0" xfId="0" applyAlignment="1" applyBorder="1" applyFont="1">
      <alignment readingOrder="0"/>
    </xf>
    <xf borderId="4" fillId="2" fontId="5" numFmtId="0" xfId="0" applyBorder="1" applyFont="1"/>
    <xf borderId="0" fillId="0" fontId="12" numFmtId="0" xfId="0" applyFont="1"/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C6EFCE"/>
          <bgColor rgb="FFC6EFCE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FCE5CD"/>
          <bgColor rgb="FFFCE5CD"/>
        </patternFill>
      </fill>
      <border/>
    </dxf>
  </dxfs>
  <tableStyles count="1">
    <tableStyle count="3" pivot="0" name="Artisti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S151" displayName="Table_1" name="Table_1" id="1">
  <tableColumns count="19">
    <tableColumn name="Data" id="1"/>
    <tableColumn name="Giorno" id="2"/>
    <tableColumn name="Tipo evento" id="3"/>
    <tableColumn name="Billing / artista" id="4"/>
    <tableColumn name="Interesse Campo (1-10)" id="5"/>
    <tableColumn name="Priorità Campo (1-5)" id="6"/>
    <tableColumn name="Curiosità Campo (1-5)" id="7"/>
    <tableColumn name="Già visto Campo?" id="8"/>
    <tableColumn name="Interesse Gimbo (1-10)" id="9"/>
    <tableColumn name="Priorità Gimbo (1-5)" id="10"/>
    <tableColumn name="Curiosità Gimbo (1-5)" id="11"/>
    <tableColumn name="Già visto Gimbo?" id="12"/>
    <tableColumn name="Interesse pesato" id="13"/>
    <tableColumn name="Priorità pesata" id="14"/>
    <tableColumn name="Curiosità pesata" id="15"/>
    <tableColumn name="Bonus mai visto pesato" id="16"/>
    <tableColumn name="Orario inizio" id="17"/>
    <tableColumn name="Orario fine" id="18"/>
    <tableColumn name="Palco" id="19"/>
  </tableColumns>
  <tableStyleInfo name="Artisti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EA5E9"/>
    <pageSetUpPr/>
  </sheetPr>
  <sheetViews>
    <sheetView showGridLines="0" workbookViewId="0"/>
  </sheetViews>
  <sheetFormatPr customHeight="1" defaultColWidth="14.43" defaultRowHeight="15.0"/>
  <cols>
    <col customWidth="1" min="1" max="1" width="20.0"/>
    <col customWidth="1" min="2" max="2" width="120.0"/>
    <col customWidth="1" min="3" max="3" width="2.0"/>
    <col customWidth="1" min="4" max="26" width="8.71"/>
  </cols>
  <sheetData>
    <row r="1">
      <c r="A1" s="1" t="s">
        <v>0</v>
      </c>
      <c r="B1" s="2"/>
      <c r="C1" s="2"/>
      <c r="D1" s="2"/>
      <c r="E1" s="2"/>
      <c r="F1" s="3"/>
    </row>
    <row r="3" ht="30.0" customHeight="1">
      <c r="A3" s="4" t="s">
        <v>1</v>
      </c>
      <c r="B3" s="5" t="s">
        <v>2</v>
      </c>
    </row>
    <row r="4" ht="36.0" customHeight="1"/>
    <row r="5" ht="30.0" customHeight="1">
      <c r="A5" s="4" t="s">
        <v>3</v>
      </c>
      <c r="B5" s="5" t="s">
        <v>4</v>
      </c>
    </row>
    <row r="6" ht="36.0" customHeight="1"/>
    <row r="7" ht="30.0" customHeight="1">
      <c r="A7" s="4" t="s">
        <v>5</v>
      </c>
      <c r="B7" s="5" t="s">
        <v>6</v>
      </c>
    </row>
    <row r="8" ht="36.0" customHeight="1"/>
    <row r="9" ht="30.0" customHeight="1">
      <c r="A9" s="4" t="s">
        <v>7</v>
      </c>
      <c r="B9" s="5" t="s">
        <v>8</v>
      </c>
    </row>
    <row r="10" ht="36.0" customHeight="1"/>
    <row r="11" ht="30.0" customHeight="1">
      <c r="A11" s="4" t="s">
        <v>9</v>
      </c>
      <c r="B11" s="5" t="s">
        <v>10</v>
      </c>
    </row>
    <row r="12" ht="36.0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EA5E9"/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2" width="12.0"/>
    <col customWidth="1" min="3" max="3" width="22.0"/>
    <col customWidth="1" min="4" max="4" width="34.0"/>
    <col customWidth="1" min="5" max="7" width="15.0"/>
    <col customWidth="1" min="8" max="8" width="13.0"/>
    <col customWidth="1" min="9" max="11" width="17.0"/>
    <col customWidth="1" min="12" max="12" width="16.0"/>
    <col customWidth="1" hidden="1" min="13" max="15" width="14.0"/>
    <col customWidth="1" hidden="1" min="16" max="16" width="18.0"/>
    <col customWidth="1" hidden="1" min="17" max="18" width="12.0"/>
    <col customWidth="1" hidden="1" min="19" max="19" width="18.0"/>
    <col customWidth="1" min="20" max="20" width="11.0"/>
    <col customWidth="1" min="21" max="21" width="14.0"/>
    <col customWidth="1" min="22" max="22" width="12.0"/>
    <col customWidth="1" min="23" max="23" width="16.0"/>
    <col customWidth="1" min="24" max="24" width="11.0"/>
    <col customWidth="1" min="25" max="26" width="24.0"/>
    <col customWidth="1" min="27" max="27" width="28.0"/>
  </cols>
  <sheetData>
    <row r="1" ht="31.5" customHeight="1">
      <c r="A1" s="6" t="s">
        <v>11</v>
      </c>
      <c r="B1" s="6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7" t="s">
        <v>17</v>
      </c>
      <c r="H1" s="7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8" t="s">
        <v>30</v>
      </c>
      <c r="U1" s="8" t="s">
        <v>31</v>
      </c>
      <c r="V1" s="8" t="s">
        <v>32</v>
      </c>
      <c r="W1" s="8" t="s">
        <v>33</v>
      </c>
      <c r="X1" s="8" t="s">
        <v>34</v>
      </c>
      <c r="Y1" s="8" t="s">
        <v>35</v>
      </c>
      <c r="Z1" s="8" t="s">
        <v>36</v>
      </c>
      <c r="AA1" s="8" t="s">
        <v>37</v>
      </c>
    </row>
    <row r="2">
      <c r="A2" s="9">
        <v>46176.0</v>
      </c>
      <c r="B2" s="10" t="s">
        <v>38</v>
      </c>
      <c r="C2" s="10" t="s">
        <v>39</v>
      </c>
      <c r="D2" s="10" t="s">
        <v>40</v>
      </c>
      <c r="E2" s="10"/>
      <c r="F2" s="10"/>
      <c r="G2" s="10"/>
      <c r="H2" s="10"/>
      <c r="I2" s="10"/>
      <c r="J2" s="10"/>
      <c r="K2" s="10"/>
      <c r="L2" s="10"/>
      <c r="M2" s="11" t="str">
        <f>IF(COUNTA(E2,I2)=0,"",(IF(E2="",0,E2*Config!$B$11)+IF(I2="",0,I2*Config!$B$12))/(IF(E2="",0,Config!$B$11)+IF(I2="",0,Config!$B$12)))</f>
        <v/>
      </c>
      <c r="N2" s="11" t="str">
        <f>IF(COUNTA(F2,J2)=0,"",(IF(F2="",0,F2*Config!$B$11)+IF(J2="",0,J2*Config!$B$12))/(IF(F2="",0,Config!$B$11)+IF(J2="",0,Config!$B$12)))</f>
        <v/>
      </c>
      <c r="O2" s="11" t="str">
        <f>IF(COUNTA(G2,K2)=0,"",(IF(G2="",0,G2*Config!$B$11)+IF(K2="",0,K2*Config!$B$12))/(IF(G2="",0,Config!$B$11)+IF(K2="",0,Config!$B$12)))</f>
        <v/>
      </c>
      <c r="P2" s="11" t="str">
        <f>IF(COUNTA(H2,L2)=0,"",((IF(H2="No",Config!$B$11,0)+IF(L2="No",Config!$B$12,0))/(IF(H2&lt;&gt;"",Config!$B$11,0)+IF(L2&lt;&gt;"",Config!$B$12,0)))*Config!$B$5)</f>
        <v/>
      </c>
      <c r="Q2" s="12"/>
      <c r="R2" s="12"/>
      <c r="S2" s="10"/>
      <c r="T2" s="13" t="str">
        <f>IF(COUNT(M2:P2)=0,"",M2*Config!$B$2+N2*Config!$B$3+O2*Config!$B$4+P2)</f>
        <v/>
      </c>
      <c r="U2" s="14" t="str">
        <f>IF(T2="","",IF(T2&gt;=Config!$B$7,"MUST SEE",IF(T2&gt;=Config!$B$8,"ALTO",IF(T2&gt;=Config!$B$9,"VALUTA","SKIP"))))</f>
        <v/>
      </c>
      <c r="V2" s="14" t="str">
        <f>IF(T2="","",IF(T2&gt;=Config!$B$9,"SI","NO"))</f>
        <v/>
      </c>
      <c r="W2" s="14" t="str">
        <f t="shared" ref="W2:W151" si="1">IF(OR(Q2="",R2=""),"",IF(COUNTIFS($A:$A,$A2,$Q:$Q,"&lt;"&amp;$R2,$R:$R,"&gt;"&amp;$Q2)&gt;1,"CONFLITTO","OK"))</f>
        <v/>
      </c>
      <c r="X2" s="14" t="str">
        <f t="shared" ref="X2:X151" si="2">IF(T2="","",COUNTIFS($A:$A,$A2,$T:$T,"&gt;"&amp;$T2)+1)</f>
        <v/>
      </c>
      <c r="Z2" s="14" t="s">
        <v>41</v>
      </c>
      <c r="AA2" s="14" t="s">
        <v>42</v>
      </c>
    </row>
    <row r="3">
      <c r="A3" s="9">
        <v>46176.0</v>
      </c>
      <c r="B3" s="10" t="s">
        <v>38</v>
      </c>
      <c r="C3" s="10" t="s">
        <v>39</v>
      </c>
      <c r="D3" s="10" t="s">
        <v>43</v>
      </c>
      <c r="E3" s="10"/>
      <c r="F3" s="10"/>
      <c r="G3" s="10"/>
      <c r="H3" s="10"/>
      <c r="I3" s="10"/>
      <c r="J3" s="10"/>
      <c r="K3" s="10"/>
      <c r="L3" s="10"/>
      <c r="M3" s="11" t="str">
        <f>IF(COUNTA(E3,I3)=0,"",(IF(E3="",0,E3*Config!$B$11)+IF(I3="",0,I3*Config!$B$12))/(IF(E3="",0,Config!$B$11)+IF(I3="",0,Config!$B$12)))</f>
        <v/>
      </c>
      <c r="N3" s="11" t="str">
        <f>IF(COUNTA(F3,J3)=0,"",(IF(F3="",0,F3*Config!$B$11)+IF(J3="",0,J3*Config!$B$12))/(IF(F3="",0,Config!$B$11)+IF(J3="",0,Config!$B$12)))</f>
        <v/>
      </c>
      <c r="O3" s="11" t="str">
        <f>IF(COUNTA(G3,K3)=0,"",(IF(G3="",0,G3*Config!$B$11)+IF(K3="",0,K3*Config!$B$12))/(IF(G3="",0,Config!$B$11)+IF(K3="",0,Config!$B$12)))</f>
        <v/>
      </c>
      <c r="P3" s="11" t="str">
        <f>IF(COUNTA(H3,L3)=0,"",((IF(H3="No",Config!$B$11,0)+IF(L3="No",Config!$B$12,0))/(IF(H3&lt;&gt;"",Config!$B$11,0)+IF(L3&lt;&gt;"",Config!$B$12,0)))*Config!$B$5)</f>
        <v/>
      </c>
      <c r="Q3" s="12"/>
      <c r="R3" s="12"/>
      <c r="S3" s="10"/>
      <c r="T3" s="13" t="str">
        <f>IF(COUNT(M3:P3)=0,"",M3*Config!$B$2+N3*Config!$B$3+O3*Config!$B$4+P3)</f>
        <v/>
      </c>
      <c r="U3" s="14" t="str">
        <f>IF(T3="","",IF(T3&gt;=Config!$B$7,"MUST SEE",IF(T3&gt;=Config!$B$8,"ALTO",IF(T3&gt;=Config!$B$9,"VALUTA","SKIP"))))</f>
        <v/>
      </c>
      <c r="V3" s="14" t="str">
        <f>IF(T3="","",IF(T3&gt;=Config!$B$9,"SI","NO"))</f>
        <v/>
      </c>
      <c r="W3" s="14" t="str">
        <f t="shared" si="1"/>
        <v/>
      </c>
      <c r="X3" s="14" t="str">
        <f t="shared" si="2"/>
        <v/>
      </c>
      <c r="Z3" s="14" t="s">
        <v>41</v>
      </c>
      <c r="AA3" s="14" t="s">
        <v>42</v>
      </c>
    </row>
    <row r="4">
      <c r="A4" s="9">
        <v>46176.0</v>
      </c>
      <c r="B4" s="10" t="s">
        <v>38</v>
      </c>
      <c r="C4" s="10" t="s">
        <v>39</v>
      </c>
      <c r="D4" s="10" t="s">
        <v>44</v>
      </c>
      <c r="E4" s="10"/>
      <c r="F4" s="10"/>
      <c r="G4" s="10"/>
      <c r="H4" s="10"/>
      <c r="I4" s="10"/>
      <c r="J4" s="10"/>
      <c r="K4" s="10"/>
      <c r="L4" s="10"/>
      <c r="M4" s="11" t="str">
        <f>IF(COUNTA(E4,I4)=0,"",(IF(E4="",0,E4*Config!$B$11)+IF(I4="",0,I4*Config!$B$12))/(IF(E4="",0,Config!$B$11)+IF(I4="",0,Config!$B$12)))</f>
        <v/>
      </c>
      <c r="N4" s="11" t="str">
        <f>IF(COUNTA(F4,J4)=0,"",(IF(F4="",0,F4*Config!$B$11)+IF(J4="",0,J4*Config!$B$12))/(IF(F4="",0,Config!$B$11)+IF(J4="",0,Config!$B$12)))</f>
        <v/>
      </c>
      <c r="O4" s="11" t="str">
        <f>IF(COUNTA(G4,K4)=0,"",(IF(G4="",0,G4*Config!$B$11)+IF(K4="",0,K4*Config!$B$12))/(IF(G4="",0,Config!$B$11)+IF(K4="",0,Config!$B$12)))</f>
        <v/>
      </c>
      <c r="P4" s="11" t="str">
        <f>IF(COUNTA(H4,L4)=0,"",((IF(H4="No",Config!$B$11,0)+IF(L4="No",Config!$B$12,0))/(IF(H4&lt;&gt;"",Config!$B$11,0)+IF(L4&lt;&gt;"",Config!$B$12,0)))*Config!$B$5)</f>
        <v/>
      </c>
      <c r="Q4" s="12"/>
      <c r="R4" s="12"/>
      <c r="S4" s="10"/>
      <c r="T4" s="13" t="str">
        <f>IF(COUNT(M4:P4)=0,"",M4*Config!$B$2+N4*Config!$B$3+O4*Config!$B$4+P4)</f>
        <v/>
      </c>
      <c r="U4" s="14" t="str">
        <f>IF(T4="","",IF(T4&gt;=Config!$B$7,"MUST SEE",IF(T4&gt;=Config!$B$8,"ALTO",IF(T4&gt;=Config!$B$9,"VALUTA","SKIP"))))</f>
        <v/>
      </c>
      <c r="V4" s="14" t="str">
        <f>IF(T4="","",IF(T4&gt;=Config!$B$9,"SI","NO"))</f>
        <v/>
      </c>
      <c r="W4" s="14" t="str">
        <f t="shared" si="1"/>
        <v/>
      </c>
      <c r="X4" s="14" t="str">
        <f t="shared" si="2"/>
        <v/>
      </c>
      <c r="Z4" s="14" t="s">
        <v>41</v>
      </c>
      <c r="AA4" s="14" t="s">
        <v>42</v>
      </c>
    </row>
    <row r="5">
      <c r="A5" s="9">
        <v>46176.0</v>
      </c>
      <c r="B5" s="10" t="s">
        <v>38</v>
      </c>
      <c r="C5" s="10" t="s">
        <v>39</v>
      </c>
      <c r="D5" s="10" t="s">
        <v>45</v>
      </c>
      <c r="E5" s="10"/>
      <c r="F5" s="10"/>
      <c r="G5" s="10"/>
      <c r="H5" s="10"/>
      <c r="I5" s="10"/>
      <c r="J5" s="10"/>
      <c r="K5" s="10"/>
      <c r="L5" s="10"/>
      <c r="M5" s="11" t="str">
        <f>IF(COUNTA(E5,I5)=0,"",(IF(E5="",0,E5*Config!$B$11)+IF(I5="",0,I5*Config!$B$12))/(IF(E5="",0,Config!$B$11)+IF(I5="",0,Config!$B$12)))</f>
        <v/>
      </c>
      <c r="N5" s="11" t="str">
        <f>IF(COUNTA(F5,J5)=0,"",(IF(F5="",0,F5*Config!$B$11)+IF(J5="",0,J5*Config!$B$12))/(IF(F5="",0,Config!$B$11)+IF(J5="",0,Config!$B$12)))</f>
        <v/>
      </c>
      <c r="O5" s="11" t="str">
        <f>IF(COUNTA(G5,K5)=0,"",(IF(G5="",0,G5*Config!$B$11)+IF(K5="",0,K5*Config!$B$12))/(IF(G5="",0,Config!$B$11)+IF(K5="",0,Config!$B$12)))</f>
        <v/>
      </c>
      <c r="P5" s="11" t="str">
        <f>IF(COUNTA(H5,L5)=0,"",((IF(H5="No",Config!$B$11,0)+IF(L5="No",Config!$B$12,0))/(IF(H5&lt;&gt;"",Config!$B$11,0)+IF(L5&lt;&gt;"",Config!$B$12,0)))*Config!$B$5)</f>
        <v/>
      </c>
      <c r="Q5" s="12"/>
      <c r="R5" s="12"/>
      <c r="S5" s="10"/>
      <c r="T5" s="13" t="str">
        <f>IF(COUNT(M5:P5)=0,"",M5*Config!$B$2+N5*Config!$B$3+O5*Config!$B$4+P5)</f>
        <v/>
      </c>
      <c r="U5" s="14" t="str">
        <f>IF(T5="","",IF(T5&gt;=Config!$B$7,"MUST SEE",IF(T5&gt;=Config!$B$8,"ALTO",IF(T5&gt;=Config!$B$9,"VALUTA","SKIP"))))</f>
        <v/>
      </c>
      <c r="V5" s="14" t="str">
        <f>IF(T5="","",IF(T5&gt;=Config!$B$9,"SI","NO"))</f>
        <v/>
      </c>
      <c r="W5" s="14" t="str">
        <f t="shared" si="1"/>
        <v/>
      </c>
      <c r="X5" s="14" t="str">
        <f t="shared" si="2"/>
        <v/>
      </c>
      <c r="Z5" s="14" t="s">
        <v>41</v>
      </c>
      <c r="AA5" s="14" t="s">
        <v>42</v>
      </c>
    </row>
    <row r="6">
      <c r="A6" s="9">
        <v>46177.0</v>
      </c>
      <c r="B6" s="10" t="s">
        <v>46</v>
      </c>
      <c r="C6" s="10" t="s">
        <v>47</v>
      </c>
      <c r="D6" s="10" t="s">
        <v>48</v>
      </c>
      <c r="E6" s="15">
        <v>10.0</v>
      </c>
      <c r="F6" s="15">
        <v>5.0</v>
      </c>
      <c r="G6" s="15">
        <v>5.0</v>
      </c>
      <c r="H6" s="15" t="s">
        <v>49</v>
      </c>
      <c r="I6" s="15">
        <v>8.0</v>
      </c>
      <c r="J6" s="15">
        <v>4.0</v>
      </c>
      <c r="K6" s="15">
        <v>4.0</v>
      </c>
      <c r="L6" s="10"/>
      <c r="M6" s="11">
        <f>IF(COUNTA(E6,I6)=0,"",(IF(E6="",0,E6*Config!$B$11)+IF(I6="",0,I6*Config!$B$12))/(IF(E6="",0,Config!$B$11)+IF(I6="",0,Config!$B$12)))</f>
        <v>9</v>
      </c>
      <c r="N6" s="11">
        <f>IF(COUNTA(F6,J6)=0,"",(IF(F6="",0,F6*Config!$B$11)+IF(J6="",0,J6*Config!$B$12))/(IF(F6="",0,Config!$B$11)+IF(J6="",0,Config!$B$12)))</f>
        <v>4.5</v>
      </c>
      <c r="O6" s="11">
        <f>IF(COUNTA(G6,K6)=0,"",(IF(G6="",0,G6*Config!$B$11)+IF(K6="",0,K6*Config!$B$12))/(IF(G6="",0,Config!$B$11)+IF(K6="",0,Config!$B$12)))</f>
        <v>4.5</v>
      </c>
      <c r="P6" s="11">
        <f>IF(COUNTA(H6,L6)=0,"",((IF(H6="No",Config!$B$11,0)+IF(L6="No",Config!$B$12,0))/(IF(H6&lt;&gt;"",Config!$B$11,0)+IF(L6&lt;&gt;"",Config!$B$12,0)))*Config!$B$5)</f>
        <v>1</v>
      </c>
      <c r="Q6" s="12"/>
      <c r="R6" s="12"/>
      <c r="S6" s="10"/>
      <c r="T6" s="13">
        <f>IF(COUNT(M6:P6)=0,"",M6*Config!$B$2+N6*Config!$B$3+O6*Config!$B$4+P6)</f>
        <v>32.5</v>
      </c>
      <c r="U6" s="14" t="str">
        <f>IF(T6="","",IF(T6&gt;=Config!$B$7,"MUST SEE",IF(T6&gt;=Config!$B$8,"ALTO",IF(T6&gt;=Config!$B$9,"VALUTA","SKIP"))))</f>
        <v>MUST SEE</v>
      </c>
      <c r="V6" s="14" t="str">
        <f>IF(T6="","",IF(T6&gt;=Config!$B$9,"SI","NO"))</f>
        <v>SI</v>
      </c>
      <c r="W6" s="14" t="str">
        <f t="shared" si="1"/>
        <v/>
      </c>
      <c r="X6" s="14">
        <f t="shared" si="2"/>
        <v>2</v>
      </c>
      <c r="Z6" s="14" t="s">
        <v>41</v>
      </c>
      <c r="AA6" s="14" t="s">
        <v>42</v>
      </c>
    </row>
    <row r="7">
      <c r="A7" s="9">
        <v>46177.0</v>
      </c>
      <c r="B7" s="10" t="s">
        <v>46</v>
      </c>
      <c r="C7" s="10" t="s">
        <v>47</v>
      </c>
      <c r="D7" s="10" t="s">
        <v>50</v>
      </c>
      <c r="E7" s="15">
        <v>6.0</v>
      </c>
      <c r="F7" s="15">
        <v>2.0</v>
      </c>
      <c r="G7" s="15">
        <v>3.0</v>
      </c>
      <c r="H7" s="15" t="s">
        <v>49</v>
      </c>
      <c r="I7" s="10"/>
      <c r="J7" s="10"/>
      <c r="K7" s="10"/>
      <c r="L7" s="10"/>
      <c r="M7" s="11">
        <f>IF(COUNTA(E7,I7)=0,"",(IF(E7="",0,E7*Config!$B$11)+IF(I7="",0,I7*Config!$B$12))/(IF(E7="",0,Config!$B$11)+IF(I7="",0,Config!$B$12)))</f>
        <v>6</v>
      </c>
      <c r="N7" s="11">
        <f>IF(COUNTA(F7,J7)=0,"",(IF(F7="",0,F7*Config!$B$11)+IF(J7="",0,J7*Config!$B$12))/(IF(F7="",0,Config!$B$11)+IF(J7="",0,Config!$B$12)))</f>
        <v>2</v>
      </c>
      <c r="O7" s="11">
        <f>IF(COUNTA(G7,K7)=0,"",(IF(G7="",0,G7*Config!$B$11)+IF(K7="",0,K7*Config!$B$12))/(IF(G7="",0,Config!$B$11)+IF(K7="",0,Config!$B$12)))</f>
        <v>3</v>
      </c>
      <c r="P7" s="11">
        <f>IF(COUNTA(H7,L7)=0,"",((IF(H7="No",Config!$B$11,0)+IF(L7="No",Config!$B$12,0))/(IF(H7&lt;&gt;"",Config!$B$11,0)+IF(L7&lt;&gt;"",Config!$B$12,0)))*Config!$B$5)</f>
        <v>1</v>
      </c>
      <c r="Q7" s="12"/>
      <c r="R7" s="12"/>
      <c r="S7" s="10"/>
      <c r="T7" s="13">
        <f>IF(COUNT(M7:P7)=0,"",M7*Config!$B$2+N7*Config!$B$3+O7*Config!$B$4+P7)</f>
        <v>20</v>
      </c>
      <c r="U7" s="14" t="str">
        <f>IF(T7="","",IF(T7&gt;=Config!$B$7,"MUST SEE",IF(T7&gt;=Config!$B$8,"ALTO",IF(T7&gt;=Config!$B$9,"VALUTA","SKIP"))))</f>
        <v>ALTO</v>
      </c>
      <c r="V7" s="14" t="str">
        <f>IF(T7="","",IF(T7&gt;=Config!$B$9,"SI","NO"))</f>
        <v>SI</v>
      </c>
      <c r="W7" s="14" t="str">
        <f t="shared" si="1"/>
        <v/>
      </c>
      <c r="X7" s="14">
        <f t="shared" si="2"/>
        <v>10</v>
      </c>
      <c r="Z7" s="14" t="s">
        <v>41</v>
      </c>
      <c r="AA7" s="14" t="s">
        <v>42</v>
      </c>
    </row>
    <row r="8">
      <c r="A8" s="9">
        <v>46177.0</v>
      </c>
      <c r="B8" s="10" t="s">
        <v>46</v>
      </c>
      <c r="C8" s="10" t="s">
        <v>47</v>
      </c>
      <c r="D8" s="10" t="s">
        <v>51</v>
      </c>
      <c r="E8" s="15">
        <v>4.0</v>
      </c>
      <c r="F8" s="15">
        <v>1.0</v>
      </c>
      <c r="G8" s="15">
        <v>2.0</v>
      </c>
      <c r="H8" s="15" t="s">
        <v>49</v>
      </c>
      <c r="I8" s="10"/>
      <c r="J8" s="10"/>
      <c r="K8" s="10"/>
      <c r="L8" s="10"/>
      <c r="M8" s="11">
        <f>IF(COUNTA(E8,I8)=0,"",(IF(E8="",0,E8*Config!$B$11)+IF(I8="",0,I8*Config!$B$12))/(IF(E8="",0,Config!$B$11)+IF(I8="",0,Config!$B$12)))</f>
        <v>4</v>
      </c>
      <c r="N8" s="11">
        <f>IF(COUNTA(F8,J8)=0,"",(IF(F8="",0,F8*Config!$B$11)+IF(J8="",0,J8*Config!$B$12))/(IF(F8="",0,Config!$B$11)+IF(J8="",0,Config!$B$12)))</f>
        <v>1</v>
      </c>
      <c r="O8" s="11">
        <f>IF(COUNTA(G8,K8)=0,"",(IF(G8="",0,G8*Config!$B$11)+IF(K8="",0,K8*Config!$B$12))/(IF(G8="",0,Config!$B$11)+IF(K8="",0,Config!$B$12)))</f>
        <v>2</v>
      </c>
      <c r="P8" s="11">
        <f>IF(COUNTA(H8,L8)=0,"",((IF(H8="No",Config!$B$11,0)+IF(L8="No",Config!$B$12,0))/(IF(H8&lt;&gt;"",Config!$B$11,0)+IF(L8&lt;&gt;"",Config!$B$12,0)))*Config!$B$5)</f>
        <v>1</v>
      </c>
      <c r="Q8" s="12"/>
      <c r="R8" s="12"/>
      <c r="S8" s="10"/>
      <c r="T8" s="13">
        <f>IF(COUNT(M8:P8)=0,"",M8*Config!$B$2+N8*Config!$B$3+O8*Config!$B$4+P8)</f>
        <v>13</v>
      </c>
      <c r="U8" s="14" t="str">
        <f>IF(T8="","",IF(T8&gt;=Config!$B$7,"MUST SEE",IF(T8&gt;=Config!$B$8,"ALTO",IF(T8&gt;=Config!$B$9,"VALUTA","SKIP"))))</f>
        <v>VALUTA</v>
      </c>
      <c r="V8" s="14" t="str">
        <f>IF(T8="","",IF(T8&gt;=Config!$B$9,"SI","NO"))</f>
        <v>SI</v>
      </c>
      <c r="W8" s="14" t="str">
        <f t="shared" si="1"/>
        <v/>
      </c>
      <c r="X8" s="14">
        <f t="shared" si="2"/>
        <v>24</v>
      </c>
      <c r="Z8" s="14" t="s">
        <v>41</v>
      </c>
      <c r="AA8" s="14" t="s">
        <v>42</v>
      </c>
    </row>
    <row r="9">
      <c r="A9" s="9">
        <v>46177.0</v>
      </c>
      <c r="B9" s="10" t="s">
        <v>46</v>
      </c>
      <c r="C9" s="10" t="s">
        <v>47</v>
      </c>
      <c r="D9" s="10" t="s">
        <v>52</v>
      </c>
      <c r="E9" s="15">
        <v>7.0</v>
      </c>
      <c r="F9" s="15">
        <v>3.0</v>
      </c>
      <c r="G9" s="15">
        <v>3.0</v>
      </c>
      <c r="H9" s="15" t="s">
        <v>49</v>
      </c>
      <c r="I9" s="10"/>
      <c r="J9" s="10"/>
      <c r="K9" s="10"/>
      <c r="L9" s="10"/>
      <c r="M9" s="11">
        <f>IF(COUNTA(E9,I9)=0,"",(IF(E9="",0,E9*Config!$B$11)+IF(I9="",0,I9*Config!$B$12))/(IF(E9="",0,Config!$B$11)+IF(I9="",0,Config!$B$12)))</f>
        <v>7</v>
      </c>
      <c r="N9" s="11">
        <f>IF(COUNTA(F9,J9)=0,"",(IF(F9="",0,F9*Config!$B$11)+IF(J9="",0,J9*Config!$B$12))/(IF(F9="",0,Config!$B$11)+IF(J9="",0,Config!$B$12)))</f>
        <v>3</v>
      </c>
      <c r="O9" s="11">
        <f>IF(COUNTA(G9,K9)=0,"",(IF(G9="",0,G9*Config!$B$11)+IF(K9="",0,K9*Config!$B$12))/(IF(G9="",0,Config!$B$11)+IF(K9="",0,Config!$B$12)))</f>
        <v>3</v>
      </c>
      <c r="P9" s="11">
        <f>IF(COUNTA(H9,L9)=0,"",((IF(H9="No",Config!$B$11,0)+IF(L9="No",Config!$B$12,0))/(IF(H9&lt;&gt;"",Config!$B$11,0)+IF(L9&lt;&gt;"",Config!$B$12,0)))*Config!$B$5)</f>
        <v>1</v>
      </c>
      <c r="Q9" s="12"/>
      <c r="R9" s="12"/>
      <c r="S9" s="10"/>
      <c r="T9" s="13">
        <f>IF(COUNT(M9:P9)=0,"",M9*Config!$B$2+N9*Config!$B$3+O9*Config!$B$4+P9)</f>
        <v>24</v>
      </c>
      <c r="U9" s="14" t="str">
        <f>IF(T9="","",IF(T9&gt;=Config!$B$7,"MUST SEE",IF(T9&gt;=Config!$B$8,"ALTO",IF(T9&gt;=Config!$B$9,"VALUTA","SKIP"))))</f>
        <v>MUST SEE</v>
      </c>
      <c r="V9" s="14" t="str">
        <f>IF(T9="","",IF(T9&gt;=Config!$B$9,"SI","NO"))</f>
        <v>SI</v>
      </c>
      <c r="W9" s="14" t="str">
        <f t="shared" si="1"/>
        <v/>
      </c>
      <c r="X9" s="14">
        <f t="shared" si="2"/>
        <v>4</v>
      </c>
      <c r="Z9" s="14" t="s">
        <v>41</v>
      </c>
      <c r="AA9" s="14" t="s">
        <v>42</v>
      </c>
    </row>
    <row r="10">
      <c r="A10" s="9">
        <v>46177.0</v>
      </c>
      <c r="B10" s="10" t="s">
        <v>46</v>
      </c>
      <c r="C10" s="10" t="s">
        <v>47</v>
      </c>
      <c r="D10" s="10" t="s">
        <v>53</v>
      </c>
      <c r="E10" s="15">
        <v>4.0</v>
      </c>
      <c r="F10" s="15">
        <v>1.0</v>
      </c>
      <c r="G10" s="15">
        <v>2.0</v>
      </c>
      <c r="H10" s="15" t="s">
        <v>49</v>
      </c>
      <c r="I10" s="15">
        <v>8.0</v>
      </c>
      <c r="J10" s="15">
        <v>2.0</v>
      </c>
      <c r="K10" s="15">
        <v>4.0</v>
      </c>
      <c r="L10" s="15" t="s">
        <v>49</v>
      </c>
      <c r="M10" s="11">
        <f>IF(COUNTA(E10,I10)=0,"",(IF(E10="",0,E10*Config!$B$11)+IF(I10="",0,I10*Config!$B$12))/(IF(E10="",0,Config!$B$11)+IF(I10="",0,Config!$B$12)))</f>
        <v>6</v>
      </c>
      <c r="N10" s="11">
        <f>IF(COUNTA(F10,J10)=0,"",(IF(F10="",0,F10*Config!$B$11)+IF(J10="",0,J10*Config!$B$12))/(IF(F10="",0,Config!$B$11)+IF(J10="",0,Config!$B$12)))</f>
        <v>1.5</v>
      </c>
      <c r="O10" s="11">
        <f>IF(COUNTA(G10,K10)=0,"",(IF(G10="",0,G10*Config!$B$11)+IF(K10="",0,K10*Config!$B$12))/(IF(G10="",0,Config!$B$11)+IF(K10="",0,Config!$B$12)))</f>
        <v>3</v>
      </c>
      <c r="P10" s="11">
        <f>IF(COUNTA(H10,L10)=0,"",((IF(H10="No",Config!$B$11,0)+IF(L10="No",Config!$B$12,0))/(IF(H10&lt;&gt;"",Config!$B$11,0)+IF(L10&lt;&gt;"",Config!$B$12,0)))*Config!$B$5)</f>
        <v>1</v>
      </c>
      <c r="Q10" s="12"/>
      <c r="R10" s="12"/>
      <c r="S10" s="10"/>
      <c r="T10" s="13">
        <f>IF(COUNT(M10:P10)=0,"",M10*Config!$B$2+N10*Config!$B$3+O10*Config!$B$4+P10)</f>
        <v>19</v>
      </c>
      <c r="U10" s="14" t="str">
        <f>IF(T10="","",IF(T10&gt;=Config!$B$7,"MUST SEE",IF(T10&gt;=Config!$B$8,"ALTO",IF(T10&gt;=Config!$B$9,"VALUTA","SKIP"))))</f>
        <v>ALTO</v>
      </c>
      <c r="V10" s="14" t="str">
        <f>IF(T10="","",IF(T10&gt;=Config!$B$9,"SI","NO"))</f>
        <v>SI</v>
      </c>
      <c r="W10" s="14" t="str">
        <f t="shared" si="1"/>
        <v/>
      </c>
      <c r="X10" s="14">
        <f t="shared" si="2"/>
        <v>14</v>
      </c>
      <c r="Z10" s="14" t="s">
        <v>41</v>
      </c>
      <c r="AA10" s="14" t="s">
        <v>42</v>
      </c>
    </row>
    <row r="11">
      <c r="A11" s="9">
        <v>46177.0</v>
      </c>
      <c r="B11" s="10" t="s">
        <v>46</v>
      </c>
      <c r="C11" s="10" t="s">
        <v>47</v>
      </c>
      <c r="D11" s="10" t="s">
        <v>54</v>
      </c>
      <c r="E11" s="15">
        <v>7.0</v>
      </c>
      <c r="F11" s="15">
        <v>3.0</v>
      </c>
      <c r="G11" s="15">
        <v>2.0</v>
      </c>
      <c r="H11" s="15" t="s">
        <v>55</v>
      </c>
      <c r="I11" s="15">
        <v>4.0</v>
      </c>
      <c r="J11" s="15">
        <v>1.0</v>
      </c>
      <c r="K11" s="15">
        <v>2.0</v>
      </c>
      <c r="L11" s="15" t="s">
        <v>55</v>
      </c>
      <c r="M11" s="11">
        <f>IF(COUNTA(E11,I11)=0,"",(IF(E11="",0,E11*Config!$B$11)+IF(I11="",0,I11*Config!$B$12))/(IF(E11="",0,Config!$B$11)+IF(I11="",0,Config!$B$12)))</f>
        <v>5.5</v>
      </c>
      <c r="N11" s="11">
        <f>IF(COUNTA(F11,J11)=0,"",(IF(F11="",0,F11*Config!$B$11)+IF(J11="",0,J11*Config!$B$12))/(IF(F11="",0,Config!$B$11)+IF(J11="",0,Config!$B$12)))</f>
        <v>2</v>
      </c>
      <c r="O11" s="11">
        <f>IF(COUNTA(G11,K11)=0,"",(IF(G11="",0,G11*Config!$B$11)+IF(K11="",0,K11*Config!$B$12))/(IF(G11="",0,Config!$B$11)+IF(K11="",0,Config!$B$12)))</f>
        <v>2</v>
      </c>
      <c r="P11" s="11">
        <f>IF(COUNTA(H11,L11)=0,"",((IF(H11="No",Config!$B$11,0)+IF(L11="No",Config!$B$12,0))/(IF(H11&lt;&gt;"",Config!$B$11,0)+IF(L11&lt;&gt;"",Config!$B$12,0)))*Config!$B$5)</f>
        <v>0</v>
      </c>
      <c r="Q11" s="12"/>
      <c r="R11" s="12"/>
      <c r="S11" s="10"/>
      <c r="T11" s="13">
        <f>IF(COUNT(M11:P11)=0,"",M11*Config!$B$2+N11*Config!$B$3+O11*Config!$B$4+P11)</f>
        <v>17</v>
      </c>
      <c r="U11" s="14" t="str">
        <f>IF(T11="","",IF(T11&gt;=Config!$B$7,"MUST SEE",IF(T11&gt;=Config!$B$8,"ALTO",IF(T11&gt;=Config!$B$9,"VALUTA","SKIP"))))</f>
        <v>VALUTA</v>
      </c>
      <c r="V11" s="14" t="str">
        <f>IF(T11="","",IF(T11&gt;=Config!$B$9,"SI","NO"))</f>
        <v>SI</v>
      </c>
      <c r="W11" s="14" t="str">
        <f t="shared" si="1"/>
        <v/>
      </c>
      <c r="X11" s="14">
        <f t="shared" si="2"/>
        <v>17</v>
      </c>
      <c r="Z11" s="14" t="s">
        <v>41</v>
      </c>
      <c r="AA11" s="14" t="s">
        <v>42</v>
      </c>
    </row>
    <row r="12">
      <c r="A12" s="9">
        <v>46177.0</v>
      </c>
      <c r="B12" s="10" t="s">
        <v>46</v>
      </c>
      <c r="C12" s="10" t="s">
        <v>47</v>
      </c>
      <c r="D12" s="10" t="s">
        <v>56</v>
      </c>
      <c r="E12" s="15">
        <v>1.0</v>
      </c>
      <c r="F12" s="15">
        <v>1.0</v>
      </c>
      <c r="G12" s="15">
        <v>1.0</v>
      </c>
      <c r="H12" s="15" t="s">
        <v>49</v>
      </c>
      <c r="I12" s="10"/>
      <c r="J12" s="10"/>
      <c r="K12" s="10"/>
      <c r="L12" s="10"/>
      <c r="M12" s="11">
        <f>IF(COUNTA(E12,I12)=0,"",(IF(E12="",0,E12*Config!$B$11)+IF(I12="",0,I12*Config!$B$12))/(IF(E12="",0,Config!$B$11)+IF(I12="",0,Config!$B$12)))</f>
        <v>1</v>
      </c>
      <c r="N12" s="11">
        <f>IF(COUNTA(F12,J12)=0,"",(IF(F12="",0,F12*Config!$B$11)+IF(J12="",0,J12*Config!$B$12))/(IF(F12="",0,Config!$B$11)+IF(J12="",0,Config!$B$12)))</f>
        <v>1</v>
      </c>
      <c r="O12" s="11">
        <f>IF(COUNTA(G12,K12)=0,"",(IF(G12="",0,G12*Config!$B$11)+IF(K12="",0,K12*Config!$B$12))/(IF(G12="",0,Config!$B$11)+IF(K12="",0,Config!$B$12)))</f>
        <v>1</v>
      </c>
      <c r="P12" s="11">
        <f>IF(COUNTA(H12,L12)=0,"",((IF(H12="No",Config!$B$11,0)+IF(L12="No",Config!$B$12,0))/(IF(H12&lt;&gt;"",Config!$B$11,0)+IF(L12&lt;&gt;"",Config!$B$12,0)))*Config!$B$5)</f>
        <v>1</v>
      </c>
      <c r="Q12" s="12"/>
      <c r="R12" s="12"/>
      <c r="S12" s="10"/>
      <c r="T12" s="13">
        <f>IF(COUNT(M12:P12)=0,"",M12*Config!$B$2+N12*Config!$B$3+O12*Config!$B$4+P12)</f>
        <v>6</v>
      </c>
      <c r="U12" s="14" t="str">
        <f>IF(T12="","",IF(T12&gt;=Config!$B$7,"MUST SEE",IF(T12&gt;=Config!$B$8,"ALTO",IF(T12&gt;=Config!$B$9,"VALUTA","SKIP"))))</f>
        <v>SKIP</v>
      </c>
      <c r="V12" s="14" t="str">
        <f>IF(T12="","",IF(T12&gt;=Config!$B$9,"SI","NO"))</f>
        <v>NO</v>
      </c>
      <c r="W12" s="14" t="str">
        <f t="shared" si="1"/>
        <v/>
      </c>
      <c r="X12" s="14">
        <f t="shared" si="2"/>
        <v>38</v>
      </c>
      <c r="Z12" s="14" t="s">
        <v>41</v>
      </c>
      <c r="AA12" s="14" t="s">
        <v>42</v>
      </c>
    </row>
    <row r="13">
      <c r="A13" s="9">
        <v>46177.0</v>
      </c>
      <c r="B13" s="10" t="s">
        <v>46</v>
      </c>
      <c r="C13" s="10" t="s">
        <v>47</v>
      </c>
      <c r="D13" s="10" t="s">
        <v>57</v>
      </c>
      <c r="E13" s="15">
        <v>6.0</v>
      </c>
      <c r="F13" s="15">
        <v>1.0</v>
      </c>
      <c r="G13" s="15">
        <v>2.0</v>
      </c>
      <c r="H13" s="15" t="s">
        <v>49</v>
      </c>
      <c r="I13" s="15">
        <v>7.0</v>
      </c>
      <c r="J13" s="15">
        <v>2.0</v>
      </c>
      <c r="K13" s="15">
        <v>3.0</v>
      </c>
      <c r="L13" s="15" t="s">
        <v>49</v>
      </c>
      <c r="M13" s="11">
        <f>IF(COUNTA(E13,I13)=0,"",(IF(E13="",0,E13*Config!$B$11)+IF(I13="",0,I13*Config!$B$12))/(IF(E13="",0,Config!$B$11)+IF(I13="",0,Config!$B$12)))</f>
        <v>6.5</v>
      </c>
      <c r="N13" s="11">
        <f>IF(COUNTA(F13,J13)=0,"",(IF(F13="",0,F13*Config!$B$11)+IF(J13="",0,J13*Config!$B$12))/(IF(F13="",0,Config!$B$11)+IF(J13="",0,Config!$B$12)))</f>
        <v>1.5</v>
      </c>
      <c r="O13" s="11">
        <f>IF(COUNTA(G13,K13)=0,"",(IF(G13="",0,G13*Config!$B$11)+IF(K13="",0,K13*Config!$B$12))/(IF(G13="",0,Config!$B$11)+IF(K13="",0,Config!$B$12)))</f>
        <v>2.5</v>
      </c>
      <c r="P13" s="11">
        <f>IF(COUNTA(H13,L13)=0,"",((IF(H13="No",Config!$B$11,0)+IF(L13="No",Config!$B$12,0))/(IF(H13&lt;&gt;"",Config!$B$11,0)+IF(L13&lt;&gt;"",Config!$B$12,0)))*Config!$B$5)</f>
        <v>1</v>
      </c>
      <c r="Q13" s="12"/>
      <c r="R13" s="12"/>
      <c r="S13" s="10"/>
      <c r="T13" s="13">
        <f>IF(COUNT(M13:P13)=0,"",M13*Config!$B$2+N13*Config!$B$3+O13*Config!$B$4+P13)</f>
        <v>19.5</v>
      </c>
      <c r="U13" s="14" t="str">
        <f>IF(T13="","",IF(T13&gt;=Config!$B$7,"MUST SEE",IF(T13&gt;=Config!$B$8,"ALTO",IF(T13&gt;=Config!$B$9,"VALUTA","SKIP"))))</f>
        <v>ALTO</v>
      </c>
      <c r="V13" s="14" t="str">
        <f>IF(T13="","",IF(T13&gt;=Config!$B$9,"SI","NO"))</f>
        <v>SI</v>
      </c>
      <c r="W13" s="14" t="str">
        <f t="shared" si="1"/>
        <v/>
      </c>
      <c r="X13" s="14">
        <f t="shared" si="2"/>
        <v>13</v>
      </c>
      <c r="Z13" s="14" t="s">
        <v>41</v>
      </c>
      <c r="AA13" s="14" t="s">
        <v>42</v>
      </c>
    </row>
    <row r="14">
      <c r="A14" s="9">
        <v>46177.0</v>
      </c>
      <c r="B14" s="10" t="s">
        <v>46</v>
      </c>
      <c r="C14" s="10" t="s">
        <v>47</v>
      </c>
      <c r="D14" s="10" t="s">
        <v>58</v>
      </c>
      <c r="E14" s="10"/>
      <c r="F14" s="10"/>
      <c r="G14" s="10"/>
      <c r="H14" s="15" t="s">
        <v>49</v>
      </c>
      <c r="I14" s="10"/>
      <c r="J14" s="10"/>
      <c r="K14" s="10"/>
      <c r="L14" s="10"/>
      <c r="M14" s="11" t="str">
        <f>IF(COUNTA(E14,I14)=0,"",(IF(E14="",0,E14*Config!$B$11)+IF(I14="",0,I14*Config!$B$12))/(IF(E14="",0,Config!$B$11)+IF(I14="",0,Config!$B$12)))</f>
        <v/>
      </c>
      <c r="N14" s="11" t="str">
        <f>IF(COUNTA(F14,J14)=0,"",(IF(F14="",0,F14*Config!$B$11)+IF(J14="",0,J14*Config!$B$12))/(IF(F14="",0,Config!$B$11)+IF(J14="",0,Config!$B$12)))</f>
        <v/>
      </c>
      <c r="O14" s="11" t="str">
        <f>IF(COUNTA(G14,K14)=0,"",(IF(G14="",0,G14*Config!$B$11)+IF(K14="",0,K14*Config!$B$12))/(IF(G14="",0,Config!$B$11)+IF(K14="",0,Config!$B$12)))</f>
        <v/>
      </c>
      <c r="P14" s="11">
        <f>IF(COUNTA(H14,L14)=0,"",((IF(H14="No",Config!$B$11,0)+IF(L14="No",Config!$B$12,0))/(IF(H14&lt;&gt;"",Config!$B$11,0)+IF(L14&lt;&gt;"",Config!$B$12,0)))*Config!$B$5)</f>
        <v>1</v>
      </c>
      <c r="Q14" s="12"/>
      <c r="R14" s="12"/>
      <c r="S14" s="10"/>
      <c r="T14" s="13">
        <f>IF(COUNT(M14:P14)=0,"",M14*Config!$B$2+N14*Config!$B$3+O14*Config!$B$4+P14)</f>
        <v>1</v>
      </c>
      <c r="U14" s="14" t="str">
        <f>IF(T14="","",IF(T14&gt;=Config!$B$7,"MUST SEE",IF(T14&gt;=Config!$B$8,"ALTO",IF(T14&gt;=Config!$B$9,"VALUTA","SKIP"))))</f>
        <v>SKIP</v>
      </c>
      <c r="V14" s="14" t="str">
        <f>IF(T14="","",IF(T14&gt;=Config!$B$9,"SI","NO"))</f>
        <v>NO</v>
      </c>
      <c r="W14" s="14" t="str">
        <f t="shared" si="1"/>
        <v/>
      </c>
      <c r="X14" s="14">
        <f t="shared" si="2"/>
        <v>45</v>
      </c>
      <c r="Z14" s="14" t="s">
        <v>41</v>
      </c>
      <c r="AA14" s="14" t="s">
        <v>42</v>
      </c>
    </row>
    <row r="15">
      <c r="A15" s="9">
        <v>46177.0</v>
      </c>
      <c r="B15" s="10" t="s">
        <v>46</v>
      </c>
      <c r="C15" s="10" t="s">
        <v>47</v>
      </c>
      <c r="D15" s="10" t="s">
        <v>59</v>
      </c>
      <c r="E15" s="15">
        <v>4.0</v>
      </c>
      <c r="F15" s="15">
        <v>2.0</v>
      </c>
      <c r="G15" s="15">
        <v>2.0</v>
      </c>
      <c r="H15" s="15" t="s">
        <v>49</v>
      </c>
      <c r="I15" s="15">
        <v>6.0</v>
      </c>
      <c r="J15" s="15">
        <v>2.0</v>
      </c>
      <c r="K15" s="15">
        <v>2.0</v>
      </c>
      <c r="L15" s="15" t="s">
        <v>55</v>
      </c>
      <c r="M15" s="11">
        <f>IF(COUNTA(E15,I15)=0,"",(IF(E15="",0,E15*Config!$B$11)+IF(I15="",0,I15*Config!$B$12))/(IF(E15="",0,Config!$B$11)+IF(I15="",0,Config!$B$12)))</f>
        <v>5</v>
      </c>
      <c r="N15" s="11">
        <f>IF(COUNTA(F15,J15)=0,"",(IF(F15="",0,F15*Config!$B$11)+IF(J15="",0,J15*Config!$B$12))/(IF(F15="",0,Config!$B$11)+IF(J15="",0,Config!$B$12)))</f>
        <v>2</v>
      </c>
      <c r="O15" s="11">
        <f>IF(COUNTA(G15,K15)=0,"",(IF(G15="",0,G15*Config!$B$11)+IF(K15="",0,K15*Config!$B$12))/(IF(G15="",0,Config!$B$11)+IF(K15="",0,Config!$B$12)))</f>
        <v>2</v>
      </c>
      <c r="P15" s="11">
        <f>IF(COUNTA(H15,L15)=0,"",((IF(H15="No",Config!$B$11,0)+IF(L15="No",Config!$B$12,0))/(IF(H15&lt;&gt;"",Config!$B$11,0)+IF(L15&lt;&gt;"",Config!$B$12,0)))*Config!$B$5)</f>
        <v>0.5</v>
      </c>
      <c r="Q15" s="12"/>
      <c r="R15" s="12"/>
      <c r="S15" s="10"/>
      <c r="T15" s="13">
        <f>IF(COUNT(M15:P15)=0,"",M15*Config!$B$2+N15*Config!$B$3+O15*Config!$B$4+P15)</f>
        <v>16.5</v>
      </c>
      <c r="U15" s="14" t="str">
        <f>IF(T15="","",IF(T15&gt;=Config!$B$7,"MUST SEE",IF(T15&gt;=Config!$B$8,"ALTO",IF(T15&gt;=Config!$B$9,"VALUTA","SKIP"))))</f>
        <v>VALUTA</v>
      </c>
      <c r="V15" s="14" t="str">
        <f>IF(T15="","",IF(T15&gt;=Config!$B$9,"SI","NO"))</f>
        <v>SI</v>
      </c>
      <c r="W15" s="14" t="str">
        <f t="shared" si="1"/>
        <v/>
      </c>
      <c r="X15" s="14">
        <f t="shared" si="2"/>
        <v>19</v>
      </c>
      <c r="Z15" s="14" t="s">
        <v>41</v>
      </c>
      <c r="AA15" s="14" t="s">
        <v>42</v>
      </c>
    </row>
    <row r="16">
      <c r="A16" s="9">
        <v>46177.0</v>
      </c>
      <c r="B16" s="10" t="s">
        <v>46</v>
      </c>
      <c r="C16" s="10" t="s">
        <v>47</v>
      </c>
      <c r="D16" s="10" t="s">
        <v>60</v>
      </c>
      <c r="E16" s="15">
        <v>6.0</v>
      </c>
      <c r="F16" s="15">
        <v>3.0</v>
      </c>
      <c r="G16" s="15">
        <v>3.0</v>
      </c>
      <c r="H16" s="15" t="s">
        <v>49</v>
      </c>
      <c r="I16" s="10"/>
      <c r="J16" s="10"/>
      <c r="K16" s="10"/>
      <c r="L16" s="10"/>
      <c r="M16" s="11">
        <f>IF(COUNTA(E16,I16)=0,"",(IF(E16="",0,E16*Config!$B$11)+IF(I16="",0,I16*Config!$B$12))/(IF(E16="",0,Config!$B$11)+IF(I16="",0,Config!$B$12)))</f>
        <v>6</v>
      </c>
      <c r="N16" s="11">
        <f>IF(COUNTA(F16,J16)=0,"",(IF(F16="",0,F16*Config!$B$11)+IF(J16="",0,J16*Config!$B$12))/(IF(F16="",0,Config!$B$11)+IF(J16="",0,Config!$B$12)))</f>
        <v>3</v>
      </c>
      <c r="O16" s="11">
        <f>IF(COUNTA(G16,K16)=0,"",(IF(G16="",0,G16*Config!$B$11)+IF(K16="",0,K16*Config!$B$12))/(IF(G16="",0,Config!$B$11)+IF(K16="",0,Config!$B$12)))</f>
        <v>3</v>
      </c>
      <c r="P16" s="11">
        <f>IF(COUNTA(H16,L16)=0,"",((IF(H16="No",Config!$B$11,0)+IF(L16="No",Config!$B$12,0))/(IF(H16&lt;&gt;"",Config!$B$11,0)+IF(L16&lt;&gt;"",Config!$B$12,0)))*Config!$B$5)</f>
        <v>1</v>
      </c>
      <c r="Q16" s="12"/>
      <c r="R16" s="12"/>
      <c r="S16" s="10"/>
      <c r="T16" s="13">
        <f>IF(COUNT(M16:P16)=0,"",M16*Config!$B$2+N16*Config!$B$3+O16*Config!$B$4+P16)</f>
        <v>22</v>
      </c>
      <c r="U16" s="14" t="str">
        <f>IF(T16="","",IF(T16&gt;=Config!$B$7,"MUST SEE",IF(T16&gt;=Config!$B$8,"ALTO",IF(T16&gt;=Config!$B$9,"VALUTA","SKIP"))))</f>
        <v>ALTO</v>
      </c>
      <c r="V16" s="14" t="str">
        <f>IF(T16="","",IF(T16&gt;=Config!$B$9,"SI","NO"))</f>
        <v>SI</v>
      </c>
      <c r="W16" s="14" t="str">
        <f t="shared" si="1"/>
        <v/>
      </c>
      <c r="X16" s="14">
        <f t="shared" si="2"/>
        <v>7</v>
      </c>
      <c r="Z16" s="14" t="s">
        <v>41</v>
      </c>
      <c r="AA16" s="14" t="s">
        <v>42</v>
      </c>
    </row>
    <row r="17">
      <c r="A17" s="9">
        <v>46177.0</v>
      </c>
      <c r="B17" s="10" t="s">
        <v>46</v>
      </c>
      <c r="C17" s="10" t="s">
        <v>47</v>
      </c>
      <c r="D17" s="10" t="s">
        <v>61</v>
      </c>
      <c r="E17" s="15">
        <v>6.0</v>
      </c>
      <c r="F17" s="15">
        <v>3.0</v>
      </c>
      <c r="G17" s="15">
        <v>3.0</v>
      </c>
      <c r="H17" s="15" t="s">
        <v>49</v>
      </c>
      <c r="I17" s="15">
        <v>6.0</v>
      </c>
      <c r="J17" s="15">
        <v>2.0</v>
      </c>
      <c r="K17" s="15">
        <v>3.0</v>
      </c>
      <c r="L17" s="15" t="s">
        <v>49</v>
      </c>
      <c r="M17" s="11">
        <f>IF(COUNTA(E17,I17)=0,"",(IF(E17="",0,E17*Config!$B$11)+IF(I17="",0,I17*Config!$B$12))/(IF(E17="",0,Config!$B$11)+IF(I17="",0,Config!$B$12)))</f>
        <v>6</v>
      </c>
      <c r="N17" s="11">
        <f>IF(COUNTA(F17,J17)=0,"",(IF(F17="",0,F17*Config!$B$11)+IF(J17="",0,J17*Config!$B$12))/(IF(F17="",0,Config!$B$11)+IF(J17="",0,Config!$B$12)))</f>
        <v>2.5</v>
      </c>
      <c r="O17" s="11">
        <f>IF(COUNTA(G17,K17)=0,"",(IF(G17="",0,G17*Config!$B$11)+IF(K17="",0,K17*Config!$B$12))/(IF(G17="",0,Config!$B$11)+IF(K17="",0,Config!$B$12)))</f>
        <v>3</v>
      </c>
      <c r="P17" s="11">
        <f>IF(COUNTA(H17,L17)=0,"",((IF(H17="No",Config!$B$11,0)+IF(L17="No",Config!$B$12,0))/(IF(H17&lt;&gt;"",Config!$B$11,0)+IF(L17&lt;&gt;"",Config!$B$12,0)))*Config!$B$5)</f>
        <v>1</v>
      </c>
      <c r="Q17" s="12"/>
      <c r="R17" s="12"/>
      <c r="S17" s="10"/>
      <c r="T17" s="13">
        <f>IF(COUNT(M17:P17)=0,"",M17*Config!$B$2+N17*Config!$B$3+O17*Config!$B$4+P17)</f>
        <v>21</v>
      </c>
      <c r="U17" s="14" t="str">
        <f>IF(T17="","",IF(T17&gt;=Config!$B$7,"MUST SEE",IF(T17&gt;=Config!$B$8,"ALTO",IF(T17&gt;=Config!$B$9,"VALUTA","SKIP"))))</f>
        <v>ALTO</v>
      </c>
      <c r="V17" s="14" t="str">
        <f>IF(T17="","",IF(T17&gt;=Config!$B$9,"SI","NO"))</f>
        <v>SI</v>
      </c>
      <c r="W17" s="14" t="str">
        <f t="shared" si="1"/>
        <v/>
      </c>
      <c r="X17" s="14">
        <f t="shared" si="2"/>
        <v>8</v>
      </c>
      <c r="Z17" s="14" t="s">
        <v>41</v>
      </c>
      <c r="AA17" s="14" t="s">
        <v>42</v>
      </c>
    </row>
    <row r="18">
      <c r="A18" s="9">
        <v>46177.0</v>
      </c>
      <c r="B18" s="10" t="s">
        <v>46</v>
      </c>
      <c r="C18" s="10" t="s">
        <v>47</v>
      </c>
      <c r="D18" s="10" t="s">
        <v>62</v>
      </c>
      <c r="E18" s="15">
        <v>4.0</v>
      </c>
      <c r="F18" s="15">
        <v>2.0</v>
      </c>
      <c r="G18" s="15">
        <v>2.0</v>
      </c>
      <c r="H18" s="15" t="s">
        <v>49</v>
      </c>
      <c r="I18" s="10"/>
      <c r="J18" s="10"/>
      <c r="K18" s="10"/>
      <c r="L18" s="10"/>
      <c r="M18" s="11">
        <f>IF(COUNTA(E18,I18)=0,"",(IF(E18="",0,E18*Config!$B$11)+IF(I18="",0,I18*Config!$B$12))/(IF(E18="",0,Config!$B$11)+IF(I18="",0,Config!$B$12)))</f>
        <v>4</v>
      </c>
      <c r="N18" s="11">
        <f>IF(COUNTA(F18,J18)=0,"",(IF(F18="",0,F18*Config!$B$11)+IF(J18="",0,J18*Config!$B$12))/(IF(F18="",0,Config!$B$11)+IF(J18="",0,Config!$B$12)))</f>
        <v>2</v>
      </c>
      <c r="O18" s="11">
        <f>IF(COUNTA(G18,K18)=0,"",(IF(G18="",0,G18*Config!$B$11)+IF(K18="",0,K18*Config!$B$12))/(IF(G18="",0,Config!$B$11)+IF(K18="",0,Config!$B$12)))</f>
        <v>2</v>
      </c>
      <c r="P18" s="11">
        <f>IF(COUNTA(H18,L18)=0,"",((IF(H18="No",Config!$B$11,0)+IF(L18="No",Config!$B$12,0))/(IF(H18&lt;&gt;"",Config!$B$11,0)+IF(L18&lt;&gt;"",Config!$B$12,0)))*Config!$B$5)</f>
        <v>1</v>
      </c>
      <c r="Q18" s="12"/>
      <c r="R18" s="12"/>
      <c r="S18" s="10"/>
      <c r="T18" s="13">
        <f>IF(COUNT(M18:P18)=0,"",M18*Config!$B$2+N18*Config!$B$3+O18*Config!$B$4+P18)</f>
        <v>15</v>
      </c>
      <c r="U18" s="14" t="str">
        <f>IF(T18="","",IF(T18&gt;=Config!$B$7,"MUST SEE",IF(T18&gt;=Config!$B$8,"ALTO",IF(T18&gt;=Config!$B$9,"VALUTA","SKIP"))))</f>
        <v>VALUTA</v>
      </c>
      <c r="V18" s="14" t="str">
        <f>IF(T18="","",IF(T18&gt;=Config!$B$9,"SI","NO"))</f>
        <v>SI</v>
      </c>
      <c r="W18" s="14" t="str">
        <f t="shared" si="1"/>
        <v/>
      </c>
      <c r="X18" s="14">
        <f t="shared" si="2"/>
        <v>20</v>
      </c>
      <c r="Z18" s="14" t="s">
        <v>41</v>
      </c>
      <c r="AA18" s="14" t="s">
        <v>42</v>
      </c>
    </row>
    <row r="19">
      <c r="A19" s="9">
        <v>46177.0</v>
      </c>
      <c r="B19" s="10" t="s">
        <v>46</v>
      </c>
      <c r="C19" s="10" t="s">
        <v>47</v>
      </c>
      <c r="D19" s="10" t="s">
        <v>63</v>
      </c>
      <c r="E19" s="15">
        <v>5.0</v>
      </c>
      <c r="F19" s="15">
        <v>1.0</v>
      </c>
      <c r="G19" s="15">
        <v>1.0</v>
      </c>
      <c r="H19" s="15" t="s">
        <v>49</v>
      </c>
      <c r="I19" s="15">
        <v>6.0</v>
      </c>
      <c r="J19" s="15">
        <v>2.0</v>
      </c>
      <c r="K19" s="15">
        <v>4.0</v>
      </c>
      <c r="L19" s="10"/>
      <c r="M19" s="11">
        <f>IF(COUNTA(E19,I19)=0,"",(IF(E19="",0,E19*Config!$B$11)+IF(I19="",0,I19*Config!$B$12))/(IF(E19="",0,Config!$B$11)+IF(I19="",0,Config!$B$12)))</f>
        <v>5.5</v>
      </c>
      <c r="N19" s="11">
        <f>IF(COUNTA(F19,J19)=0,"",(IF(F19="",0,F19*Config!$B$11)+IF(J19="",0,J19*Config!$B$12))/(IF(F19="",0,Config!$B$11)+IF(J19="",0,Config!$B$12)))</f>
        <v>1.5</v>
      </c>
      <c r="O19" s="11">
        <f>IF(COUNTA(G19,K19)=0,"",(IF(G19="",0,G19*Config!$B$11)+IF(K19="",0,K19*Config!$B$12))/(IF(G19="",0,Config!$B$11)+IF(K19="",0,Config!$B$12)))</f>
        <v>2.5</v>
      </c>
      <c r="P19" s="11">
        <f>IF(COUNTA(H19,L19)=0,"",((IF(H19="No",Config!$B$11,0)+IF(L19="No",Config!$B$12,0))/(IF(H19&lt;&gt;"",Config!$B$11,0)+IF(L19&lt;&gt;"",Config!$B$12,0)))*Config!$B$5)</f>
        <v>1</v>
      </c>
      <c r="Q19" s="12"/>
      <c r="R19" s="12"/>
      <c r="S19" s="10"/>
      <c r="T19" s="13">
        <f>IF(COUNT(M19:P19)=0,"",M19*Config!$B$2+N19*Config!$B$3+O19*Config!$B$4+P19)</f>
        <v>17.5</v>
      </c>
      <c r="U19" s="14" t="str">
        <f>IF(T19="","",IF(T19&gt;=Config!$B$7,"MUST SEE",IF(T19&gt;=Config!$B$8,"ALTO",IF(T19&gt;=Config!$B$9,"VALUTA","SKIP"))))</f>
        <v>VALUTA</v>
      </c>
      <c r="V19" s="14" t="str">
        <f>IF(T19="","",IF(T19&gt;=Config!$B$9,"SI","NO"))</f>
        <v>SI</v>
      </c>
      <c r="W19" s="14" t="str">
        <f t="shared" si="1"/>
        <v/>
      </c>
      <c r="X19" s="14">
        <f t="shared" si="2"/>
        <v>16</v>
      </c>
      <c r="Z19" s="14" t="s">
        <v>41</v>
      </c>
      <c r="AA19" s="14" t="s">
        <v>42</v>
      </c>
    </row>
    <row r="20">
      <c r="A20" s="9">
        <v>46177.0</v>
      </c>
      <c r="B20" s="10" t="s">
        <v>46</v>
      </c>
      <c r="C20" s="10" t="s">
        <v>47</v>
      </c>
      <c r="D20" s="10" t="s">
        <v>64</v>
      </c>
      <c r="E20" s="15">
        <v>5.0</v>
      </c>
      <c r="F20" s="15">
        <v>1.0</v>
      </c>
      <c r="G20" s="15">
        <v>1.0</v>
      </c>
      <c r="H20" s="15" t="s">
        <v>49</v>
      </c>
      <c r="I20" s="10"/>
      <c r="J20" s="10"/>
      <c r="K20" s="10"/>
      <c r="L20" s="10"/>
      <c r="M20" s="11">
        <f>IF(COUNTA(E20,I20)=0,"",(IF(E20="",0,E20*Config!$B$11)+IF(I20="",0,I20*Config!$B$12))/(IF(E20="",0,Config!$B$11)+IF(I20="",0,Config!$B$12)))</f>
        <v>5</v>
      </c>
      <c r="N20" s="11">
        <f>IF(COUNTA(F20,J20)=0,"",(IF(F20="",0,F20*Config!$B$11)+IF(J20="",0,J20*Config!$B$12))/(IF(F20="",0,Config!$B$11)+IF(J20="",0,Config!$B$12)))</f>
        <v>1</v>
      </c>
      <c r="O20" s="11">
        <f>IF(COUNTA(G20,K20)=0,"",(IF(G20="",0,G20*Config!$B$11)+IF(K20="",0,K20*Config!$B$12))/(IF(G20="",0,Config!$B$11)+IF(K20="",0,Config!$B$12)))</f>
        <v>1</v>
      </c>
      <c r="P20" s="11">
        <f>IF(COUNTA(H20,L20)=0,"",((IF(H20="No",Config!$B$11,0)+IF(L20="No",Config!$B$12,0))/(IF(H20&lt;&gt;"",Config!$B$11,0)+IF(L20&lt;&gt;"",Config!$B$12,0)))*Config!$B$5)</f>
        <v>1</v>
      </c>
      <c r="Q20" s="12"/>
      <c r="R20" s="12"/>
      <c r="S20" s="10"/>
      <c r="T20" s="13">
        <f>IF(COUNT(M20:P20)=0,"",M20*Config!$B$2+N20*Config!$B$3+O20*Config!$B$4+P20)</f>
        <v>14</v>
      </c>
      <c r="U20" s="14" t="str">
        <f>IF(T20="","",IF(T20&gt;=Config!$B$7,"MUST SEE",IF(T20&gt;=Config!$B$8,"ALTO",IF(T20&gt;=Config!$B$9,"VALUTA","SKIP"))))</f>
        <v>VALUTA</v>
      </c>
      <c r="V20" s="14" t="str">
        <f>IF(T20="","",IF(T20&gt;=Config!$B$9,"SI","NO"))</f>
        <v>SI</v>
      </c>
      <c r="W20" s="14" t="str">
        <f t="shared" si="1"/>
        <v/>
      </c>
      <c r="X20" s="14">
        <f t="shared" si="2"/>
        <v>22</v>
      </c>
      <c r="Z20" s="14" t="s">
        <v>41</v>
      </c>
      <c r="AA20" s="14" t="s">
        <v>42</v>
      </c>
    </row>
    <row r="21" ht="15.75" customHeight="1">
      <c r="A21" s="9">
        <v>46177.0</v>
      </c>
      <c r="B21" s="10" t="s">
        <v>46</v>
      </c>
      <c r="C21" s="10" t="s">
        <v>47</v>
      </c>
      <c r="D21" s="10" t="s">
        <v>65</v>
      </c>
      <c r="E21" s="15">
        <v>1.0</v>
      </c>
      <c r="F21" s="15">
        <v>1.0</v>
      </c>
      <c r="G21" s="15">
        <v>1.0</v>
      </c>
      <c r="H21" s="15" t="s">
        <v>49</v>
      </c>
      <c r="I21" s="15">
        <v>6.0</v>
      </c>
      <c r="J21" s="15">
        <v>2.0</v>
      </c>
      <c r="K21" s="15">
        <v>2.0</v>
      </c>
      <c r="L21" s="15" t="s">
        <v>49</v>
      </c>
      <c r="M21" s="11">
        <f>IF(COUNTA(E21,I21)=0,"",(IF(E21="",0,E21*Config!$B$11)+IF(I21="",0,I21*Config!$B$12))/(IF(E21="",0,Config!$B$11)+IF(I21="",0,Config!$B$12)))</f>
        <v>3.5</v>
      </c>
      <c r="N21" s="11">
        <f>IF(COUNTA(F21,J21)=0,"",(IF(F21="",0,F21*Config!$B$11)+IF(J21="",0,J21*Config!$B$12))/(IF(F21="",0,Config!$B$11)+IF(J21="",0,Config!$B$12)))</f>
        <v>1.5</v>
      </c>
      <c r="O21" s="11">
        <f>IF(COUNTA(G21,K21)=0,"",(IF(G21="",0,G21*Config!$B$11)+IF(K21="",0,K21*Config!$B$12))/(IF(G21="",0,Config!$B$11)+IF(K21="",0,Config!$B$12)))</f>
        <v>1.5</v>
      </c>
      <c r="P21" s="11">
        <f>IF(COUNTA(H21,L21)=0,"",((IF(H21="No",Config!$B$11,0)+IF(L21="No",Config!$B$12,0))/(IF(H21&lt;&gt;"",Config!$B$11,0)+IF(L21&lt;&gt;"",Config!$B$12,0)))*Config!$B$5)</f>
        <v>1</v>
      </c>
      <c r="Q21" s="12"/>
      <c r="R21" s="12"/>
      <c r="S21" s="10"/>
      <c r="T21" s="13">
        <f>IF(COUNT(M21:P21)=0,"",M21*Config!$B$2+N21*Config!$B$3+O21*Config!$B$4+P21)</f>
        <v>12.5</v>
      </c>
      <c r="U21" s="14" t="str">
        <f>IF(T21="","",IF(T21&gt;=Config!$B$7,"MUST SEE",IF(T21&gt;=Config!$B$8,"ALTO",IF(T21&gt;=Config!$B$9,"VALUTA","SKIP"))))</f>
        <v>SKIP</v>
      </c>
      <c r="V21" s="14" t="str">
        <f>IF(T21="","",IF(T21&gt;=Config!$B$9,"SI","NO"))</f>
        <v>NO</v>
      </c>
      <c r="W21" s="14" t="str">
        <f t="shared" si="1"/>
        <v/>
      </c>
      <c r="X21" s="14">
        <f t="shared" si="2"/>
        <v>29</v>
      </c>
      <c r="Z21" s="14" t="s">
        <v>41</v>
      </c>
      <c r="AA21" s="14" t="s">
        <v>42</v>
      </c>
    </row>
    <row r="22" ht="15.75" customHeight="1">
      <c r="A22" s="9">
        <v>46177.0</v>
      </c>
      <c r="B22" s="10" t="s">
        <v>46</v>
      </c>
      <c r="C22" s="10" t="s">
        <v>47</v>
      </c>
      <c r="D22" s="10" t="s">
        <v>66</v>
      </c>
      <c r="E22" s="15">
        <v>5.0</v>
      </c>
      <c r="F22" s="15">
        <v>2.0</v>
      </c>
      <c r="G22" s="15">
        <v>2.0</v>
      </c>
      <c r="H22" s="15" t="s">
        <v>55</v>
      </c>
      <c r="I22" s="15">
        <v>2.0</v>
      </c>
      <c r="J22" s="15">
        <v>1.0</v>
      </c>
      <c r="K22" s="15">
        <v>2.0</v>
      </c>
      <c r="L22" s="15" t="s">
        <v>55</v>
      </c>
      <c r="M22" s="11">
        <f>IF(COUNTA(E22,I22)=0,"",(IF(E22="",0,E22*Config!$B$11)+IF(I22="",0,I22*Config!$B$12))/(IF(E22="",0,Config!$B$11)+IF(I22="",0,Config!$B$12)))</f>
        <v>3.5</v>
      </c>
      <c r="N22" s="11">
        <f>IF(COUNTA(F22,J22)=0,"",(IF(F22="",0,F22*Config!$B$11)+IF(J22="",0,J22*Config!$B$12))/(IF(F22="",0,Config!$B$11)+IF(J22="",0,Config!$B$12)))</f>
        <v>1.5</v>
      </c>
      <c r="O22" s="11">
        <f>IF(COUNTA(G22,K22)=0,"",(IF(G22="",0,G22*Config!$B$11)+IF(K22="",0,K22*Config!$B$12))/(IF(G22="",0,Config!$B$11)+IF(K22="",0,Config!$B$12)))</f>
        <v>2</v>
      </c>
      <c r="P22" s="11">
        <f>IF(COUNTA(H22,L22)=0,"",((IF(H22="No",Config!$B$11,0)+IF(L22="No",Config!$B$12,0))/(IF(H22&lt;&gt;"",Config!$B$11,0)+IF(L22&lt;&gt;"",Config!$B$12,0)))*Config!$B$5)</f>
        <v>0</v>
      </c>
      <c r="Q22" s="12"/>
      <c r="R22" s="12"/>
      <c r="S22" s="10"/>
      <c r="T22" s="13">
        <f>IF(COUNT(M22:P22)=0,"",M22*Config!$B$2+N22*Config!$B$3+O22*Config!$B$4+P22)</f>
        <v>12</v>
      </c>
      <c r="U22" s="14" t="str">
        <f>IF(T22="","",IF(T22&gt;=Config!$B$7,"MUST SEE",IF(T22&gt;=Config!$B$8,"ALTO",IF(T22&gt;=Config!$B$9,"VALUTA","SKIP"))))</f>
        <v>SKIP</v>
      </c>
      <c r="V22" s="14" t="str">
        <f>IF(T22="","",IF(T22&gt;=Config!$B$9,"SI","NO"))</f>
        <v>NO</v>
      </c>
      <c r="W22" s="14" t="str">
        <f t="shared" si="1"/>
        <v/>
      </c>
      <c r="X22" s="14">
        <f t="shared" si="2"/>
        <v>30</v>
      </c>
      <c r="Z22" s="14" t="s">
        <v>41</v>
      </c>
      <c r="AA22" s="14" t="s">
        <v>42</v>
      </c>
    </row>
    <row r="23" ht="15.75" customHeight="1">
      <c r="A23" s="9">
        <v>46177.0</v>
      </c>
      <c r="B23" s="10" t="s">
        <v>46</v>
      </c>
      <c r="C23" s="10" t="s">
        <v>47</v>
      </c>
      <c r="D23" s="10" t="s">
        <v>67</v>
      </c>
      <c r="E23" s="15">
        <v>6.0</v>
      </c>
      <c r="F23" s="15">
        <v>2.0</v>
      </c>
      <c r="G23" s="15">
        <v>3.0</v>
      </c>
      <c r="H23" s="15" t="s">
        <v>49</v>
      </c>
      <c r="I23" s="10"/>
      <c r="J23" s="10"/>
      <c r="K23" s="10"/>
      <c r="L23" s="10"/>
      <c r="M23" s="11">
        <f>IF(COUNTA(E23,I23)=0,"",(IF(E23="",0,E23*Config!$B$11)+IF(I23="",0,I23*Config!$B$12))/(IF(E23="",0,Config!$B$11)+IF(I23="",0,Config!$B$12)))</f>
        <v>6</v>
      </c>
      <c r="N23" s="11">
        <f>IF(COUNTA(F23,J23)=0,"",(IF(F23="",0,F23*Config!$B$11)+IF(J23="",0,J23*Config!$B$12))/(IF(F23="",0,Config!$B$11)+IF(J23="",0,Config!$B$12)))</f>
        <v>2</v>
      </c>
      <c r="O23" s="11">
        <f>IF(COUNTA(G23,K23)=0,"",(IF(G23="",0,G23*Config!$B$11)+IF(K23="",0,K23*Config!$B$12))/(IF(G23="",0,Config!$B$11)+IF(K23="",0,Config!$B$12)))</f>
        <v>3</v>
      </c>
      <c r="P23" s="11">
        <f>IF(COUNTA(H23,L23)=0,"",((IF(H23="No",Config!$B$11,0)+IF(L23="No",Config!$B$12,0))/(IF(H23&lt;&gt;"",Config!$B$11,0)+IF(L23&lt;&gt;"",Config!$B$12,0)))*Config!$B$5)</f>
        <v>1</v>
      </c>
      <c r="Q23" s="12"/>
      <c r="R23" s="12"/>
      <c r="S23" s="10"/>
      <c r="T23" s="13">
        <f>IF(COUNT(M23:P23)=0,"",M23*Config!$B$2+N23*Config!$B$3+O23*Config!$B$4+P23)</f>
        <v>20</v>
      </c>
      <c r="U23" s="14" t="str">
        <f>IF(T23="","",IF(T23&gt;=Config!$B$7,"MUST SEE",IF(T23&gt;=Config!$B$8,"ALTO",IF(T23&gt;=Config!$B$9,"VALUTA","SKIP"))))</f>
        <v>ALTO</v>
      </c>
      <c r="V23" s="14" t="str">
        <f>IF(T23="","",IF(T23&gt;=Config!$B$9,"SI","NO"))</f>
        <v>SI</v>
      </c>
      <c r="W23" s="14" t="str">
        <f t="shared" si="1"/>
        <v/>
      </c>
      <c r="X23" s="14">
        <f t="shared" si="2"/>
        <v>10</v>
      </c>
      <c r="Z23" s="14" t="s">
        <v>41</v>
      </c>
      <c r="AA23" s="14" t="s">
        <v>42</v>
      </c>
    </row>
    <row r="24" ht="15.75" customHeight="1">
      <c r="A24" s="9">
        <v>46177.0</v>
      </c>
      <c r="B24" s="10" t="s">
        <v>46</v>
      </c>
      <c r="C24" s="10" t="s">
        <v>47</v>
      </c>
      <c r="D24" s="10" t="s">
        <v>68</v>
      </c>
      <c r="E24" s="15">
        <v>5.0</v>
      </c>
      <c r="F24" s="15">
        <v>2.0</v>
      </c>
      <c r="G24" s="15">
        <v>3.0</v>
      </c>
      <c r="H24" s="15" t="s">
        <v>49</v>
      </c>
      <c r="I24" s="10"/>
      <c r="J24" s="10"/>
      <c r="K24" s="10"/>
      <c r="L24" s="10"/>
      <c r="M24" s="11">
        <f>IF(COUNTA(E24,I24)=0,"",(IF(E24="",0,E24*Config!$B$11)+IF(I24="",0,I24*Config!$B$12))/(IF(E24="",0,Config!$B$11)+IF(I24="",0,Config!$B$12)))</f>
        <v>5</v>
      </c>
      <c r="N24" s="11">
        <f>IF(COUNTA(F24,J24)=0,"",(IF(F24="",0,F24*Config!$B$11)+IF(J24="",0,J24*Config!$B$12))/(IF(F24="",0,Config!$B$11)+IF(J24="",0,Config!$B$12)))</f>
        <v>2</v>
      </c>
      <c r="O24" s="11">
        <f>IF(COUNTA(G24,K24)=0,"",(IF(G24="",0,G24*Config!$B$11)+IF(K24="",0,K24*Config!$B$12))/(IF(G24="",0,Config!$B$11)+IF(K24="",0,Config!$B$12)))</f>
        <v>3</v>
      </c>
      <c r="P24" s="11">
        <f>IF(COUNTA(H24,L24)=0,"",((IF(H24="No",Config!$B$11,0)+IF(L24="No",Config!$B$12,0))/(IF(H24&lt;&gt;"",Config!$B$11,0)+IF(L24&lt;&gt;"",Config!$B$12,0)))*Config!$B$5)</f>
        <v>1</v>
      </c>
      <c r="Q24" s="12"/>
      <c r="R24" s="12"/>
      <c r="S24" s="10"/>
      <c r="T24" s="13">
        <f>IF(COUNT(M24:P24)=0,"",M24*Config!$B$2+N24*Config!$B$3+O24*Config!$B$4+P24)</f>
        <v>18</v>
      </c>
      <c r="U24" s="14" t="str">
        <f>IF(T24="","",IF(T24&gt;=Config!$B$7,"MUST SEE",IF(T24&gt;=Config!$B$8,"ALTO",IF(T24&gt;=Config!$B$9,"VALUTA","SKIP"))))</f>
        <v>ALTO</v>
      </c>
      <c r="V24" s="14" t="str">
        <f>IF(T24="","",IF(T24&gt;=Config!$B$9,"SI","NO"))</f>
        <v>SI</v>
      </c>
      <c r="W24" s="14" t="str">
        <f t="shared" si="1"/>
        <v/>
      </c>
      <c r="X24" s="14">
        <f t="shared" si="2"/>
        <v>15</v>
      </c>
      <c r="Z24" s="14" t="s">
        <v>41</v>
      </c>
      <c r="AA24" s="14" t="s">
        <v>42</v>
      </c>
    </row>
    <row r="25" ht="15.75" customHeight="1">
      <c r="A25" s="9">
        <v>46177.0</v>
      </c>
      <c r="B25" s="10" t="s">
        <v>46</v>
      </c>
      <c r="C25" s="10" t="s">
        <v>47</v>
      </c>
      <c r="D25" s="10" t="s">
        <v>69</v>
      </c>
      <c r="E25" s="15">
        <v>8.0</v>
      </c>
      <c r="F25" s="15">
        <v>4.0</v>
      </c>
      <c r="G25" s="15">
        <v>4.0</v>
      </c>
      <c r="H25" s="15" t="s">
        <v>49</v>
      </c>
      <c r="I25" s="15">
        <v>7.0</v>
      </c>
      <c r="J25" s="15">
        <v>2.0</v>
      </c>
      <c r="K25" s="15">
        <v>4.0</v>
      </c>
      <c r="L25" s="15" t="s">
        <v>49</v>
      </c>
      <c r="M25" s="11">
        <f>IF(COUNTA(E25,I25)=0,"",(IF(E25="",0,E25*Config!$B$11)+IF(I25="",0,I25*Config!$B$12))/(IF(E25="",0,Config!$B$11)+IF(I25="",0,Config!$B$12)))</f>
        <v>7.5</v>
      </c>
      <c r="N25" s="11">
        <f>IF(COUNTA(F25,J25)=0,"",(IF(F25="",0,F25*Config!$B$11)+IF(J25="",0,J25*Config!$B$12))/(IF(F25="",0,Config!$B$11)+IF(J25="",0,Config!$B$12)))</f>
        <v>3</v>
      </c>
      <c r="O25" s="11">
        <f>IF(COUNTA(G25,K25)=0,"",(IF(G25="",0,G25*Config!$B$11)+IF(K25="",0,K25*Config!$B$12))/(IF(G25="",0,Config!$B$11)+IF(K25="",0,Config!$B$12)))</f>
        <v>4</v>
      </c>
      <c r="P25" s="11">
        <f>IF(COUNTA(H25,L25)=0,"",((IF(H25="No",Config!$B$11,0)+IF(L25="No",Config!$B$12,0))/(IF(H25&lt;&gt;"",Config!$B$11,0)+IF(L25&lt;&gt;"",Config!$B$12,0)))*Config!$B$5)</f>
        <v>1</v>
      </c>
      <c r="Q25" s="12"/>
      <c r="R25" s="12"/>
      <c r="S25" s="10"/>
      <c r="T25" s="13">
        <f>IF(COUNT(M25:P25)=0,"",M25*Config!$B$2+N25*Config!$B$3+O25*Config!$B$4+P25)</f>
        <v>26</v>
      </c>
      <c r="U25" s="14" t="str">
        <f>IF(T25="","",IF(T25&gt;=Config!$B$7,"MUST SEE",IF(T25&gt;=Config!$B$8,"ALTO",IF(T25&gt;=Config!$B$9,"VALUTA","SKIP"))))</f>
        <v>MUST SEE</v>
      </c>
      <c r="V25" s="14" t="str">
        <f>IF(T25="","",IF(T25&gt;=Config!$B$9,"SI","NO"))</f>
        <v>SI</v>
      </c>
      <c r="W25" s="14" t="str">
        <f t="shared" si="1"/>
        <v/>
      </c>
      <c r="X25" s="14">
        <f t="shared" si="2"/>
        <v>3</v>
      </c>
      <c r="Z25" s="14" t="s">
        <v>41</v>
      </c>
      <c r="AA25" s="14" t="s">
        <v>42</v>
      </c>
    </row>
    <row r="26" ht="15.75" customHeight="1">
      <c r="A26" s="9">
        <v>46177.0</v>
      </c>
      <c r="B26" s="10" t="s">
        <v>46</v>
      </c>
      <c r="C26" s="10" t="s">
        <v>47</v>
      </c>
      <c r="D26" s="10" t="s">
        <v>70</v>
      </c>
      <c r="E26" s="15">
        <v>4.0</v>
      </c>
      <c r="F26" s="15">
        <v>1.0</v>
      </c>
      <c r="G26" s="15">
        <v>2.0</v>
      </c>
      <c r="H26" s="15" t="s">
        <v>49</v>
      </c>
      <c r="I26" s="10"/>
      <c r="J26" s="10"/>
      <c r="K26" s="10"/>
      <c r="L26" s="10"/>
      <c r="M26" s="11">
        <f>IF(COUNTA(E26,I26)=0,"",(IF(E26="",0,E26*Config!$B$11)+IF(I26="",0,I26*Config!$B$12))/(IF(E26="",0,Config!$B$11)+IF(I26="",0,Config!$B$12)))</f>
        <v>4</v>
      </c>
      <c r="N26" s="11">
        <f>IF(COUNTA(F26,J26)=0,"",(IF(F26="",0,F26*Config!$B$11)+IF(J26="",0,J26*Config!$B$12))/(IF(F26="",0,Config!$B$11)+IF(J26="",0,Config!$B$12)))</f>
        <v>1</v>
      </c>
      <c r="O26" s="11">
        <f>IF(COUNTA(G26,K26)=0,"",(IF(G26="",0,G26*Config!$B$11)+IF(K26="",0,K26*Config!$B$12))/(IF(G26="",0,Config!$B$11)+IF(K26="",0,Config!$B$12)))</f>
        <v>2</v>
      </c>
      <c r="P26" s="11">
        <f>IF(COUNTA(H26,L26)=0,"",((IF(H26="No",Config!$B$11,0)+IF(L26="No",Config!$B$12,0))/(IF(H26&lt;&gt;"",Config!$B$11,0)+IF(L26&lt;&gt;"",Config!$B$12,0)))*Config!$B$5)</f>
        <v>1</v>
      </c>
      <c r="Q26" s="12"/>
      <c r="R26" s="12"/>
      <c r="S26" s="10"/>
      <c r="T26" s="13">
        <f>IF(COUNT(M26:P26)=0,"",M26*Config!$B$2+N26*Config!$B$3+O26*Config!$B$4+P26)</f>
        <v>13</v>
      </c>
      <c r="U26" s="14" t="str">
        <f>IF(T26="","",IF(T26&gt;=Config!$B$7,"MUST SEE",IF(T26&gt;=Config!$B$8,"ALTO",IF(T26&gt;=Config!$B$9,"VALUTA","SKIP"))))</f>
        <v>VALUTA</v>
      </c>
      <c r="V26" s="14" t="str">
        <f>IF(T26="","",IF(T26&gt;=Config!$B$9,"SI","NO"))</f>
        <v>SI</v>
      </c>
      <c r="W26" s="14" t="str">
        <f t="shared" si="1"/>
        <v/>
      </c>
      <c r="X26" s="14">
        <f t="shared" si="2"/>
        <v>24</v>
      </c>
      <c r="Z26" s="14" t="s">
        <v>41</v>
      </c>
      <c r="AA26" s="14" t="s">
        <v>42</v>
      </c>
    </row>
    <row r="27" ht="15.75" customHeight="1">
      <c r="A27" s="9">
        <v>46177.0</v>
      </c>
      <c r="B27" s="10" t="s">
        <v>46</v>
      </c>
      <c r="C27" s="10" t="s">
        <v>47</v>
      </c>
      <c r="D27" s="10" t="s">
        <v>71</v>
      </c>
      <c r="E27" s="15">
        <v>6.0</v>
      </c>
      <c r="F27" s="15">
        <v>2.0</v>
      </c>
      <c r="G27" s="15">
        <v>3.0</v>
      </c>
      <c r="H27" s="15" t="s">
        <v>49</v>
      </c>
      <c r="I27" s="10"/>
      <c r="J27" s="10"/>
      <c r="K27" s="10"/>
      <c r="L27" s="10"/>
      <c r="M27" s="11">
        <f>IF(COUNTA(E27,I27)=0,"",(IF(E27="",0,E27*Config!$B$11)+IF(I27="",0,I27*Config!$B$12))/(IF(E27="",0,Config!$B$11)+IF(I27="",0,Config!$B$12)))</f>
        <v>6</v>
      </c>
      <c r="N27" s="11">
        <f>IF(COUNTA(F27,J27)=0,"",(IF(F27="",0,F27*Config!$B$11)+IF(J27="",0,J27*Config!$B$12))/(IF(F27="",0,Config!$B$11)+IF(J27="",0,Config!$B$12)))</f>
        <v>2</v>
      </c>
      <c r="O27" s="11">
        <f>IF(COUNTA(G27,K27)=0,"",(IF(G27="",0,G27*Config!$B$11)+IF(K27="",0,K27*Config!$B$12))/(IF(G27="",0,Config!$B$11)+IF(K27="",0,Config!$B$12)))</f>
        <v>3</v>
      </c>
      <c r="P27" s="11">
        <f>IF(COUNTA(H27,L27)=0,"",((IF(H27="No",Config!$B$11,0)+IF(L27="No",Config!$B$12,0))/(IF(H27&lt;&gt;"",Config!$B$11,0)+IF(L27&lt;&gt;"",Config!$B$12,0)))*Config!$B$5)</f>
        <v>1</v>
      </c>
      <c r="Q27" s="12"/>
      <c r="R27" s="12"/>
      <c r="S27" s="10"/>
      <c r="T27" s="13">
        <f>IF(COUNT(M27:P27)=0,"",M27*Config!$B$2+N27*Config!$B$3+O27*Config!$B$4+P27)</f>
        <v>20</v>
      </c>
      <c r="U27" s="14" t="str">
        <f>IF(T27="","",IF(T27&gt;=Config!$B$7,"MUST SEE",IF(T27&gt;=Config!$B$8,"ALTO",IF(T27&gt;=Config!$B$9,"VALUTA","SKIP"))))</f>
        <v>ALTO</v>
      </c>
      <c r="V27" s="14" t="str">
        <f>IF(T27="","",IF(T27&gt;=Config!$B$9,"SI","NO"))</f>
        <v>SI</v>
      </c>
      <c r="W27" s="14" t="str">
        <f t="shared" si="1"/>
        <v/>
      </c>
      <c r="X27" s="14">
        <f t="shared" si="2"/>
        <v>10</v>
      </c>
      <c r="Z27" s="14" t="s">
        <v>41</v>
      </c>
      <c r="AA27" s="14" t="s">
        <v>42</v>
      </c>
    </row>
    <row r="28" ht="15.75" customHeight="1">
      <c r="A28" s="9">
        <v>46177.0</v>
      </c>
      <c r="B28" s="10" t="s">
        <v>46</v>
      </c>
      <c r="C28" s="10" t="s">
        <v>47</v>
      </c>
      <c r="D28" s="10" t="s">
        <v>72</v>
      </c>
      <c r="E28" s="15">
        <v>1.0</v>
      </c>
      <c r="F28" s="15">
        <v>1.0</v>
      </c>
      <c r="G28" s="15">
        <v>1.0</v>
      </c>
      <c r="H28" s="15" t="s">
        <v>49</v>
      </c>
      <c r="I28" s="10"/>
      <c r="J28" s="10"/>
      <c r="K28" s="10"/>
      <c r="L28" s="10"/>
      <c r="M28" s="11">
        <f>IF(COUNTA(E28,I28)=0,"",(IF(E28="",0,E28*Config!$B$11)+IF(I28="",0,I28*Config!$B$12))/(IF(E28="",0,Config!$B$11)+IF(I28="",0,Config!$B$12)))</f>
        <v>1</v>
      </c>
      <c r="N28" s="11">
        <f>IF(COUNTA(F28,J28)=0,"",(IF(F28="",0,F28*Config!$B$11)+IF(J28="",0,J28*Config!$B$12))/(IF(F28="",0,Config!$B$11)+IF(J28="",0,Config!$B$12)))</f>
        <v>1</v>
      </c>
      <c r="O28" s="11">
        <f>IF(COUNTA(G28,K28)=0,"",(IF(G28="",0,G28*Config!$B$11)+IF(K28="",0,K28*Config!$B$12))/(IF(G28="",0,Config!$B$11)+IF(K28="",0,Config!$B$12)))</f>
        <v>1</v>
      </c>
      <c r="P28" s="11">
        <f>IF(COUNTA(H28,L28)=0,"",((IF(H28="No",Config!$B$11,0)+IF(L28="No",Config!$B$12,0))/(IF(H28&lt;&gt;"",Config!$B$11,0)+IF(L28&lt;&gt;"",Config!$B$12,0)))*Config!$B$5)</f>
        <v>1</v>
      </c>
      <c r="Q28" s="12"/>
      <c r="R28" s="12"/>
      <c r="S28" s="10"/>
      <c r="T28" s="13">
        <f>IF(COUNT(M28:P28)=0,"",M28*Config!$B$2+N28*Config!$B$3+O28*Config!$B$4+P28)</f>
        <v>6</v>
      </c>
      <c r="U28" s="14" t="str">
        <f>IF(T28="","",IF(T28&gt;=Config!$B$7,"MUST SEE",IF(T28&gt;=Config!$B$8,"ALTO",IF(T28&gt;=Config!$B$9,"VALUTA","SKIP"))))</f>
        <v>SKIP</v>
      </c>
      <c r="V28" s="14" t="str">
        <f>IF(T28="","",IF(T28&gt;=Config!$B$9,"SI","NO"))</f>
        <v>NO</v>
      </c>
      <c r="W28" s="14" t="str">
        <f t="shared" si="1"/>
        <v/>
      </c>
      <c r="X28" s="14">
        <f t="shared" si="2"/>
        <v>38</v>
      </c>
      <c r="Z28" s="14" t="s">
        <v>41</v>
      </c>
      <c r="AA28" s="14" t="s">
        <v>42</v>
      </c>
    </row>
    <row r="29" ht="15.75" customHeight="1">
      <c r="A29" s="9">
        <v>46177.0</v>
      </c>
      <c r="B29" s="10" t="s">
        <v>46</v>
      </c>
      <c r="C29" s="10" t="s">
        <v>47</v>
      </c>
      <c r="D29" s="10" t="s">
        <v>73</v>
      </c>
      <c r="E29" s="15">
        <v>3.0</v>
      </c>
      <c r="F29" s="15">
        <v>1.0</v>
      </c>
      <c r="G29" s="15">
        <v>2.0</v>
      </c>
      <c r="H29" s="15" t="s">
        <v>49</v>
      </c>
      <c r="I29" s="15">
        <v>6.0</v>
      </c>
      <c r="J29" s="15">
        <v>1.0</v>
      </c>
      <c r="K29" s="15">
        <v>2.0</v>
      </c>
      <c r="L29" s="15" t="s">
        <v>49</v>
      </c>
      <c r="M29" s="11">
        <f>IF(COUNTA(E29,I29)=0,"",(IF(E29="",0,E29*Config!$B$11)+IF(I29="",0,I29*Config!$B$12))/(IF(E29="",0,Config!$B$11)+IF(I29="",0,Config!$B$12)))</f>
        <v>4.5</v>
      </c>
      <c r="N29" s="11">
        <f>IF(COUNTA(F29,J29)=0,"",(IF(F29="",0,F29*Config!$B$11)+IF(J29="",0,J29*Config!$B$12))/(IF(F29="",0,Config!$B$11)+IF(J29="",0,Config!$B$12)))</f>
        <v>1</v>
      </c>
      <c r="O29" s="11">
        <f>IF(COUNTA(G29,K29)=0,"",(IF(G29="",0,G29*Config!$B$11)+IF(K29="",0,K29*Config!$B$12))/(IF(G29="",0,Config!$B$11)+IF(K29="",0,Config!$B$12)))</f>
        <v>2</v>
      </c>
      <c r="P29" s="11">
        <f>IF(COUNTA(H29,L29)=0,"",((IF(H29="No",Config!$B$11,0)+IF(L29="No",Config!$B$12,0))/(IF(H29&lt;&gt;"",Config!$B$11,0)+IF(L29&lt;&gt;"",Config!$B$12,0)))*Config!$B$5)</f>
        <v>1</v>
      </c>
      <c r="Q29" s="12"/>
      <c r="R29" s="12"/>
      <c r="S29" s="10"/>
      <c r="T29" s="13">
        <f>IF(COUNT(M29:P29)=0,"",M29*Config!$B$2+N29*Config!$B$3+O29*Config!$B$4+P29)</f>
        <v>14</v>
      </c>
      <c r="U29" s="14" t="str">
        <f>IF(T29="","",IF(T29&gt;=Config!$B$7,"MUST SEE",IF(T29&gt;=Config!$B$8,"ALTO",IF(T29&gt;=Config!$B$9,"VALUTA","SKIP"))))</f>
        <v>VALUTA</v>
      </c>
      <c r="V29" s="14" t="str">
        <f>IF(T29="","",IF(T29&gt;=Config!$B$9,"SI","NO"))</f>
        <v>SI</v>
      </c>
      <c r="W29" s="14" t="str">
        <f t="shared" si="1"/>
        <v/>
      </c>
      <c r="X29" s="14">
        <f t="shared" si="2"/>
        <v>22</v>
      </c>
      <c r="Z29" s="14" t="s">
        <v>41</v>
      </c>
      <c r="AA29" s="14" t="s">
        <v>42</v>
      </c>
    </row>
    <row r="30" ht="15.75" customHeight="1">
      <c r="A30" s="9">
        <v>46177.0</v>
      </c>
      <c r="B30" s="10" t="s">
        <v>46</v>
      </c>
      <c r="C30" s="10" t="s">
        <v>47</v>
      </c>
      <c r="D30" s="10" t="s">
        <v>74</v>
      </c>
      <c r="E30" s="15">
        <v>2.0</v>
      </c>
      <c r="F30" s="15">
        <v>1.0</v>
      </c>
      <c r="G30" s="15">
        <v>2.0</v>
      </c>
      <c r="H30" s="15" t="s">
        <v>49</v>
      </c>
      <c r="I30" s="10"/>
      <c r="J30" s="10"/>
      <c r="K30" s="10"/>
      <c r="L30" s="10"/>
      <c r="M30" s="11">
        <f>IF(COUNTA(E30,I30)=0,"",(IF(E30="",0,E30*Config!$B$11)+IF(I30="",0,I30*Config!$B$12))/(IF(E30="",0,Config!$B$11)+IF(I30="",0,Config!$B$12)))</f>
        <v>2</v>
      </c>
      <c r="N30" s="11">
        <f>IF(COUNTA(F30,J30)=0,"",(IF(F30="",0,F30*Config!$B$11)+IF(J30="",0,J30*Config!$B$12))/(IF(F30="",0,Config!$B$11)+IF(J30="",0,Config!$B$12)))</f>
        <v>1</v>
      </c>
      <c r="O30" s="11">
        <f>IF(COUNTA(G30,K30)=0,"",(IF(G30="",0,G30*Config!$B$11)+IF(K30="",0,K30*Config!$B$12))/(IF(G30="",0,Config!$B$11)+IF(K30="",0,Config!$B$12)))</f>
        <v>2</v>
      </c>
      <c r="P30" s="11">
        <f>IF(COUNTA(H30,L30)=0,"",((IF(H30="No",Config!$B$11,0)+IF(L30="No",Config!$B$12,0))/(IF(H30&lt;&gt;"",Config!$B$11,0)+IF(L30&lt;&gt;"",Config!$B$12,0)))*Config!$B$5)</f>
        <v>1</v>
      </c>
      <c r="Q30" s="12"/>
      <c r="R30" s="12"/>
      <c r="S30" s="10"/>
      <c r="T30" s="13">
        <f>IF(COUNT(M30:P30)=0,"",M30*Config!$B$2+N30*Config!$B$3+O30*Config!$B$4+P30)</f>
        <v>9</v>
      </c>
      <c r="U30" s="14" t="str">
        <f>IF(T30="","",IF(T30&gt;=Config!$B$7,"MUST SEE",IF(T30&gt;=Config!$B$8,"ALTO",IF(T30&gt;=Config!$B$9,"VALUTA","SKIP"))))</f>
        <v>SKIP</v>
      </c>
      <c r="V30" s="14" t="str">
        <f>IF(T30="","",IF(T30&gt;=Config!$B$9,"SI","NO"))</f>
        <v>NO</v>
      </c>
      <c r="W30" s="14" t="str">
        <f t="shared" si="1"/>
        <v/>
      </c>
      <c r="X30" s="14">
        <f t="shared" si="2"/>
        <v>35</v>
      </c>
      <c r="Z30" s="14" t="s">
        <v>41</v>
      </c>
      <c r="AA30" s="14" t="s">
        <v>42</v>
      </c>
    </row>
    <row r="31" ht="15.75" customHeight="1">
      <c r="A31" s="9">
        <v>46177.0</v>
      </c>
      <c r="B31" s="10" t="s">
        <v>46</v>
      </c>
      <c r="C31" s="10" t="s">
        <v>47</v>
      </c>
      <c r="D31" s="10" t="s">
        <v>75</v>
      </c>
      <c r="E31" s="15">
        <v>8.0</v>
      </c>
      <c r="F31" s="15">
        <v>4.0</v>
      </c>
      <c r="G31" s="15">
        <v>3.0</v>
      </c>
      <c r="H31" s="15" t="s">
        <v>49</v>
      </c>
      <c r="I31" s="15">
        <v>5.0</v>
      </c>
      <c r="J31" s="15">
        <v>2.0</v>
      </c>
      <c r="K31" s="15">
        <v>2.0</v>
      </c>
      <c r="L31" s="15" t="s">
        <v>49</v>
      </c>
      <c r="M31" s="11">
        <f>IF(COUNTA(E31,I31)=0,"",(IF(E31="",0,E31*Config!$B$11)+IF(I31="",0,I31*Config!$B$12))/(IF(E31="",0,Config!$B$11)+IF(I31="",0,Config!$B$12)))</f>
        <v>6.5</v>
      </c>
      <c r="N31" s="11">
        <f>IF(COUNTA(F31,J31)=0,"",(IF(F31="",0,F31*Config!$B$11)+IF(J31="",0,J31*Config!$B$12))/(IF(F31="",0,Config!$B$11)+IF(J31="",0,Config!$B$12)))</f>
        <v>3</v>
      </c>
      <c r="O31" s="11">
        <f>IF(COUNTA(G31,K31)=0,"",(IF(G31="",0,G31*Config!$B$11)+IF(K31="",0,K31*Config!$B$12))/(IF(G31="",0,Config!$B$11)+IF(K31="",0,Config!$B$12)))</f>
        <v>2.5</v>
      </c>
      <c r="P31" s="11">
        <f>IF(COUNTA(H31,L31)=0,"",((IF(H31="No",Config!$B$11,0)+IF(L31="No",Config!$B$12,0))/(IF(H31&lt;&gt;"",Config!$B$11,0)+IF(L31&lt;&gt;"",Config!$B$12,0)))*Config!$B$5)</f>
        <v>1</v>
      </c>
      <c r="Q31" s="12"/>
      <c r="R31" s="12"/>
      <c r="S31" s="10"/>
      <c r="T31" s="13">
        <f>IF(COUNT(M31:P31)=0,"",M31*Config!$B$2+N31*Config!$B$3+O31*Config!$B$4+P31)</f>
        <v>22.5</v>
      </c>
      <c r="U31" s="14" t="str">
        <f>IF(T31="","",IF(T31&gt;=Config!$B$7,"MUST SEE",IF(T31&gt;=Config!$B$8,"ALTO",IF(T31&gt;=Config!$B$9,"VALUTA","SKIP"))))</f>
        <v>ALTO</v>
      </c>
      <c r="V31" s="14" t="str">
        <f>IF(T31="","",IF(T31&gt;=Config!$B$9,"SI","NO"))</f>
        <v>SI</v>
      </c>
      <c r="W31" s="14" t="str">
        <f t="shared" si="1"/>
        <v/>
      </c>
      <c r="X31" s="14">
        <f t="shared" si="2"/>
        <v>6</v>
      </c>
      <c r="Z31" s="14" t="s">
        <v>41</v>
      </c>
      <c r="AA31" s="14" t="s">
        <v>42</v>
      </c>
    </row>
    <row r="32" ht="15.75" customHeight="1">
      <c r="A32" s="9">
        <v>46177.0</v>
      </c>
      <c r="B32" s="10" t="s">
        <v>46</v>
      </c>
      <c r="C32" s="10" t="s">
        <v>47</v>
      </c>
      <c r="D32" s="10" t="s">
        <v>76</v>
      </c>
      <c r="E32" s="15">
        <v>1.0</v>
      </c>
      <c r="F32" s="15">
        <v>1.0</v>
      </c>
      <c r="G32" s="15">
        <v>1.0</v>
      </c>
      <c r="H32" s="15" t="s">
        <v>49</v>
      </c>
      <c r="I32" s="10"/>
      <c r="J32" s="10"/>
      <c r="K32" s="10"/>
      <c r="L32" s="10"/>
      <c r="M32" s="11">
        <f>IF(COUNTA(E32,I32)=0,"",(IF(E32="",0,E32*Config!$B$11)+IF(I32="",0,I32*Config!$B$12))/(IF(E32="",0,Config!$B$11)+IF(I32="",0,Config!$B$12)))</f>
        <v>1</v>
      </c>
      <c r="N32" s="11">
        <f>IF(COUNTA(F32,J32)=0,"",(IF(F32="",0,F32*Config!$B$11)+IF(J32="",0,J32*Config!$B$12))/(IF(F32="",0,Config!$B$11)+IF(J32="",0,Config!$B$12)))</f>
        <v>1</v>
      </c>
      <c r="O32" s="11">
        <f>IF(COUNTA(G32,K32)=0,"",(IF(G32="",0,G32*Config!$B$11)+IF(K32="",0,K32*Config!$B$12))/(IF(G32="",0,Config!$B$11)+IF(K32="",0,Config!$B$12)))</f>
        <v>1</v>
      </c>
      <c r="P32" s="11">
        <f>IF(COUNTA(H32,L32)=0,"",((IF(H32="No",Config!$B$11,0)+IF(L32="No",Config!$B$12,0))/(IF(H32&lt;&gt;"",Config!$B$11,0)+IF(L32&lt;&gt;"",Config!$B$12,0)))*Config!$B$5)</f>
        <v>1</v>
      </c>
      <c r="Q32" s="12"/>
      <c r="R32" s="12"/>
      <c r="S32" s="10"/>
      <c r="T32" s="13">
        <f>IF(COUNT(M32:P32)=0,"",M32*Config!$B$2+N32*Config!$B$3+O32*Config!$B$4+P32)</f>
        <v>6</v>
      </c>
      <c r="U32" s="14" t="str">
        <f>IF(T32="","",IF(T32&gt;=Config!$B$7,"MUST SEE",IF(T32&gt;=Config!$B$8,"ALTO",IF(T32&gt;=Config!$B$9,"VALUTA","SKIP"))))</f>
        <v>SKIP</v>
      </c>
      <c r="V32" s="14" t="str">
        <f>IF(T32="","",IF(T32&gt;=Config!$B$9,"SI","NO"))</f>
        <v>NO</v>
      </c>
      <c r="W32" s="14" t="str">
        <f t="shared" si="1"/>
        <v/>
      </c>
      <c r="X32" s="14">
        <f t="shared" si="2"/>
        <v>38</v>
      </c>
      <c r="Z32" s="14" t="s">
        <v>41</v>
      </c>
      <c r="AA32" s="14" t="s">
        <v>42</v>
      </c>
    </row>
    <row r="33" ht="15.75" customHeight="1">
      <c r="A33" s="9">
        <v>46177.0</v>
      </c>
      <c r="B33" s="10" t="s">
        <v>46</v>
      </c>
      <c r="C33" s="10" t="s">
        <v>47</v>
      </c>
      <c r="D33" s="10" t="s">
        <v>77</v>
      </c>
      <c r="E33" s="15">
        <v>8.0</v>
      </c>
      <c r="F33" s="15">
        <v>5.0</v>
      </c>
      <c r="G33" s="15">
        <v>5.0</v>
      </c>
      <c r="H33" s="15" t="s">
        <v>49</v>
      </c>
      <c r="I33" s="15">
        <v>10.0</v>
      </c>
      <c r="J33" s="15">
        <v>4.0</v>
      </c>
      <c r="K33" s="15">
        <v>5.0</v>
      </c>
      <c r="L33" s="15" t="s">
        <v>49</v>
      </c>
      <c r="M33" s="11">
        <f>IF(COUNTA(E33,I33)=0,"",(IF(E33="",0,E33*Config!$B$11)+IF(I33="",0,I33*Config!$B$12))/(IF(E33="",0,Config!$B$11)+IF(I33="",0,Config!$B$12)))</f>
        <v>9</v>
      </c>
      <c r="N33" s="11">
        <f>IF(COUNTA(F33,J33)=0,"",(IF(F33="",0,F33*Config!$B$11)+IF(J33="",0,J33*Config!$B$12))/(IF(F33="",0,Config!$B$11)+IF(J33="",0,Config!$B$12)))</f>
        <v>4.5</v>
      </c>
      <c r="O33" s="11">
        <f>IF(COUNTA(G33,K33)=0,"",(IF(G33="",0,G33*Config!$B$11)+IF(K33="",0,K33*Config!$B$12))/(IF(G33="",0,Config!$B$11)+IF(K33="",0,Config!$B$12)))</f>
        <v>5</v>
      </c>
      <c r="P33" s="11">
        <f>IF(COUNTA(H33,L33)=0,"",((IF(H33="No",Config!$B$11,0)+IF(L33="No",Config!$B$12,0))/(IF(H33&lt;&gt;"",Config!$B$11,0)+IF(L33&lt;&gt;"",Config!$B$12,0)))*Config!$B$5)</f>
        <v>1</v>
      </c>
      <c r="Q33" s="12"/>
      <c r="R33" s="12"/>
      <c r="S33" s="10"/>
      <c r="T33" s="13">
        <f>IF(COUNT(M33:P33)=0,"",M33*Config!$B$2+N33*Config!$B$3+O33*Config!$B$4+P33)</f>
        <v>33</v>
      </c>
      <c r="U33" s="14" t="str">
        <f>IF(T33="","",IF(T33&gt;=Config!$B$7,"MUST SEE",IF(T33&gt;=Config!$B$8,"ALTO",IF(T33&gt;=Config!$B$9,"VALUTA","SKIP"))))</f>
        <v>MUST SEE</v>
      </c>
      <c r="V33" s="14" t="str">
        <f>IF(T33="","",IF(T33&gt;=Config!$B$9,"SI","NO"))</f>
        <v>SI</v>
      </c>
      <c r="W33" s="14" t="str">
        <f t="shared" si="1"/>
        <v/>
      </c>
      <c r="X33" s="14">
        <f t="shared" si="2"/>
        <v>1</v>
      </c>
      <c r="Z33" s="14" t="s">
        <v>41</v>
      </c>
      <c r="AA33" s="14" t="s">
        <v>42</v>
      </c>
    </row>
    <row r="34" ht="15.75" customHeight="1">
      <c r="A34" s="9">
        <v>46177.0</v>
      </c>
      <c r="B34" s="10" t="s">
        <v>46</v>
      </c>
      <c r="C34" s="10" t="s">
        <v>47</v>
      </c>
      <c r="D34" s="10" t="s">
        <v>78</v>
      </c>
      <c r="E34" s="15">
        <v>5.0</v>
      </c>
      <c r="F34" s="15">
        <v>1.0</v>
      </c>
      <c r="G34" s="15">
        <v>2.0</v>
      </c>
      <c r="H34" s="15" t="s">
        <v>49</v>
      </c>
      <c r="I34" s="10"/>
      <c r="J34" s="10"/>
      <c r="K34" s="10"/>
      <c r="L34" s="10"/>
      <c r="M34" s="11">
        <f>IF(COUNTA(E34,I34)=0,"",(IF(E34="",0,E34*Config!$B$11)+IF(I34="",0,I34*Config!$B$12))/(IF(E34="",0,Config!$B$11)+IF(I34="",0,Config!$B$12)))</f>
        <v>5</v>
      </c>
      <c r="N34" s="11">
        <f>IF(COUNTA(F34,J34)=0,"",(IF(F34="",0,F34*Config!$B$11)+IF(J34="",0,J34*Config!$B$12))/(IF(F34="",0,Config!$B$11)+IF(J34="",0,Config!$B$12)))</f>
        <v>1</v>
      </c>
      <c r="O34" s="11">
        <f>IF(COUNTA(G34,K34)=0,"",(IF(G34="",0,G34*Config!$B$11)+IF(K34="",0,K34*Config!$B$12))/(IF(G34="",0,Config!$B$11)+IF(K34="",0,Config!$B$12)))</f>
        <v>2</v>
      </c>
      <c r="P34" s="11">
        <f>IF(COUNTA(H34,L34)=0,"",((IF(H34="No",Config!$B$11,0)+IF(L34="No",Config!$B$12,0))/(IF(H34&lt;&gt;"",Config!$B$11,0)+IF(L34&lt;&gt;"",Config!$B$12,0)))*Config!$B$5)</f>
        <v>1</v>
      </c>
      <c r="Q34" s="12"/>
      <c r="R34" s="12"/>
      <c r="S34" s="10"/>
      <c r="T34" s="13">
        <f>IF(COUNT(M34:P34)=0,"",M34*Config!$B$2+N34*Config!$B$3+O34*Config!$B$4+P34)</f>
        <v>15</v>
      </c>
      <c r="U34" s="14" t="str">
        <f>IF(T34="","",IF(T34&gt;=Config!$B$7,"MUST SEE",IF(T34&gt;=Config!$B$8,"ALTO",IF(T34&gt;=Config!$B$9,"VALUTA","SKIP"))))</f>
        <v>VALUTA</v>
      </c>
      <c r="V34" s="14" t="str">
        <f>IF(T34="","",IF(T34&gt;=Config!$B$9,"SI","NO"))</f>
        <v>SI</v>
      </c>
      <c r="W34" s="14" t="str">
        <f t="shared" si="1"/>
        <v/>
      </c>
      <c r="X34" s="14">
        <f t="shared" si="2"/>
        <v>20</v>
      </c>
      <c r="Z34" s="14" t="s">
        <v>41</v>
      </c>
      <c r="AA34" s="14" t="s">
        <v>42</v>
      </c>
    </row>
    <row r="35" ht="15.75" customHeight="1">
      <c r="A35" s="9">
        <v>46177.0</v>
      </c>
      <c r="B35" s="10" t="s">
        <v>46</v>
      </c>
      <c r="C35" s="10" t="s">
        <v>47</v>
      </c>
      <c r="D35" s="10" t="s">
        <v>79</v>
      </c>
      <c r="E35" s="15">
        <v>4.0</v>
      </c>
      <c r="F35" s="15">
        <v>1.0</v>
      </c>
      <c r="G35" s="15">
        <v>1.0</v>
      </c>
      <c r="H35" s="15" t="s">
        <v>49</v>
      </c>
      <c r="I35" s="10"/>
      <c r="J35" s="10"/>
      <c r="K35" s="10"/>
      <c r="L35" s="10"/>
      <c r="M35" s="11">
        <f>IF(COUNTA(E35,I35)=0,"",(IF(E35="",0,E35*Config!$B$11)+IF(I35="",0,I35*Config!$B$12))/(IF(E35="",0,Config!$B$11)+IF(I35="",0,Config!$B$12)))</f>
        <v>4</v>
      </c>
      <c r="N35" s="11">
        <f>IF(COUNTA(F35,J35)=0,"",(IF(F35="",0,F35*Config!$B$11)+IF(J35="",0,J35*Config!$B$12))/(IF(F35="",0,Config!$B$11)+IF(J35="",0,Config!$B$12)))</f>
        <v>1</v>
      </c>
      <c r="O35" s="11">
        <f>IF(COUNTA(G35,K35)=0,"",(IF(G35="",0,G35*Config!$B$11)+IF(K35="",0,K35*Config!$B$12))/(IF(G35="",0,Config!$B$11)+IF(K35="",0,Config!$B$12)))</f>
        <v>1</v>
      </c>
      <c r="P35" s="11">
        <f>IF(COUNTA(H35,L35)=0,"",((IF(H35="No",Config!$B$11,0)+IF(L35="No",Config!$B$12,0))/(IF(H35&lt;&gt;"",Config!$B$11,0)+IF(L35&lt;&gt;"",Config!$B$12,0)))*Config!$B$5)</f>
        <v>1</v>
      </c>
      <c r="Q35" s="12"/>
      <c r="R35" s="12"/>
      <c r="S35" s="10"/>
      <c r="T35" s="13">
        <f>IF(COUNT(M35:P35)=0,"",M35*Config!$B$2+N35*Config!$B$3+O35*Config!$B$4+P35)</f>
        <v>12</v>
      </c>
      <c r="U35" s="14" t="str">
        <f>IF(T35="","",IF(T35&gt;=Config!$B$7,"MUST SEE",IF(T35&gt;=Config!$B$8,"ALTO",IF(T35&gt;=Config!$B$9,"VALUTA","SKIP"))))</f>
        <v>SKIP</v>
      </c>
      <c r="V35" s="14" t="str">
        <f>IF(T35="","",IF(T35&gt;=Config!$B$9,"SI","NO"))</f>
        <v>NO</v>
      </c>
      <c r="W35" s="14" t="str">
        <f t="shared" si="1"/>
        <v/>
      </c>
      <c r="X35" s="14">
        <f t="shared" si="2"/>
        <v>30</v>
      </c>
      <c r="Z35" s="14" t="s">
        <v>41</v>
      </c>
      <c r="AA35" s="14" t="s">
        <v>42</v>
      </c>
    </row>
    <row r="36" ht="15.75" customHeight="1">
      <c r="A36" s="9">
        <v>46177.0</v>
      </c>
      <c r="B36" s="10" t="s">
        <v>46</v>
      </c>
      <c r="C36" s="10" t="s">
        <v>47</v>
      </c>
      <c r="D36" s="10" t="s">
        <v>80</v>
      </c>
      <c r="E36" s="15">
        <v>1.0</v>
      </c>
      <c r="F36" s="15">
        <v>1.0</v>
      </c>
      <c r="G36" s="15">
        <v>1.0</v>
      </c>
      <c r="H36" s="15" t="s">
        <v>49</v>
      </c>
      <c r="I36" s="10"/>
      <c r="J36" s="10"/>
      <c r="K36" s="10"/>
      <c r="L36" s="10"/>
      <c r="M36" s="11">
        <f>IF(COUNTA(E36,I36)=0,"",(IF(E36="",0,E36*Config!$B$11)+IF(I36="",0,I36*Config!$B$12))/(IF(E36="",0,Config!$B$11)+IF(I36="",0,Config!$B$12)))</f>
        <v>1</v>
      </c>
      <c r="N36" s="11">
        <f>IF(COUNTA(F36,J36)=0,"",(IF(F36="",0,F36*Config!$B$11)+IF(J36="",0,J36*Config!$B$12))/(IF(F36="",0,Config!$B$11)+IF(J36="",0,Config!$B$12)))</f>
        <v>1</v>
      </c>
      <c r="O36" s="11">
        <f>IF(COUNTA(G36,K36)=0,"",(IF(G36="",0,G36*Config!$B$11)+IF(K36="",0,K36*Config!$B$12))/(IF(G36="",0,Config!$B$11)+IF(K36="",0,Config!$B$12)))</f>
        <v>1</v>
      </c>
      <c r="P36" s="11">
        <f>IF(COUNTA(H36,L36)=0,"",((IF(H36="No",Config!$B$11,0)+IF(L36="No",Config!$B$12,0))/(IF(H36&lt;&gt;"",Config!$B$11,0)+IF(L36&lt;&gt;"",Config!$B$12,0)))*Config!$B$5)</f>
        <v>1</v>
      </c>
      <c r="Q36" s="12"/>
      <c r="R36" s="12"/>
      <c r="S36" s="10"/>
      <c r="T36" s="13">
        <f>IF(COUNT(M36:P36)=0,"",M36*Config!$B$2+N36*Config!$B$3+O36*Config!$B$4+P36)</f>
        <v>6</v>
      </c>
      <c r="U36" s="14" t="str">
        <f>IF(T36="","",IF(T36&gt;=Config!$B$7,"MUST SEE",IF(T36&gt;=Config!$B$8,"ALTO",IF(T36&gt;=Config!$B$9,"VALUTA","SKIP"))))</f>
        <v>SKIP</v>
      </c>
      <c r="V36" s="14" t="str">
        <f>IF(T36="","",IF(T36&gt;=Config!$B$9,"SI","NO"))</f>
        <v>NO</v>
      </c>
      <c r="W36" s="14" t="str">
        <f t="shared" si="1"/>
        <v/>
      </c>
      <c r="X36" s="14">
        <f t="shared" si="2"/>
        <v>38</v>
      </c>
      <c r="Z36" s="14" t="s">
        <v>41</v>
      </c>
      <c r="AA36" s="14" t="s">
        <v>42</v>
      </c>
    </row>
    <row r="37" ht="15.75" customHeight="1">
      <c r="A37" s="9">
        <v>46177.0</v>
      </c>
      <c r="B37" s="10" t="s">
        <v>46</v>
      </c>
      <c r="C37" s="10" t="s">
        <v>47</v>
      </c>
      <c r="D37" s="10" t="s">
        <v>81</v>
      </c>
      <c r="E37" s="15">
        <v>3.0</v>
      </c>
      <c r="F37" s="15">
        <v>1.0</v>
      </c>
      <c r="G37" s="15">
        <v>1.0</v>
      </c>
      <c r="H37" s="15" t="s">
        <v>49</v>
      </c>
      <c r="I37" s="10"/>
      <c r="J37" s="10"/>
      <c r="K37" s="10"/>
      <c r="L37" s="10"/>
      <c r="M37" s="11">
        <f>IF(COUNTA(E37,I37)=0,"",(IF(E37="",0,E37*Config!$B$11)+IF(I37="",0,I37*Config!$B$12))/(IF(E37="",0,Config!$B$11)+IF(I37="",0,Config!$B$12)))</f>
        <v>3</v>
      </c>
      <c r="N37" s="11">
        <f>IF(COUNTA(F37,J37)=0,"",(IF(F37="",0,F37*Config!$B$11)+IF(J37="",0,J37*Config!$B$12))/(IF(F37="",0,Config!$B$11)+IF(J37="",0,Config!$B$12)))</f>
        <v>1</v>
      </c>
      <c r="O37" s="11">
        <f>IF(COUNTA(G37,K37)=0,"",(IF(G37="",0,G37*Config!$B$11)+IF(K37="",0,K37*Config!$B$12))/(IF(G37="",0,Config!$B$11)+IF(K37="",0,Config!$B$12)))</f>
        <v>1</v>
      </c>
      <c r="P37" s="11">
        <f>IF(COUNTA(H37,L37)=0,"",((IF(H37="No",Config!$B$11,0)+IF(L37="No",Config!$B$12,0))/(IF(H37&lt;&gt;"",Config!$B$11,0)+IF(L37&lt;&gt;"",Config!$B$12,0)))*Config!$B$5)</f>
        <v>1</v>
      </c>
      <c r="Q37" s="12"/>
      <c r="R37" s="12"/>
      <c r="S37" s="10"/>
      <c r="T37" s="13">
        <f>IF(COUNT(M37:P37)=0,"",M37*Config!$B$2+N37*Config!$B$3+O37*Config!$B$4+P37)</f>
        <v>10</v>
      </c>
      <c r="U37" s="14" t="str">
        <f>IF(T37="","",IF(T37&gt;=Config!$B$7,"MUST SEE",IF(T37&gt;=Config!$B$8,"ALTO",IF(T37&gt;=Config!$B$9,"VALUTA","SKIP"))))</f>
        <v>SKIP</v>
      </c>
      <c r="V37" s="14" t="str">
        <f>IF(T37="","",IF(T37&gt;=Config!$B$9,"SI","NO"))</f>
        <v>NO</v>
      </c>
      <c r="W37" s="14" t="str">
        <f t="shared" si="1"/>
        <v/>
      </c>
      <c r="X37" s="14">
        <f t="shared" si="2"/>
        <v>34</v>
      </c>
      <c r="Z37" s="14" t="s">
        <v>41</v>
      </c>
      <c r="AA37" s="14" t="s">
        <v>42</v>
      </c>
    </row>
    <row r="38" ht="15.75" customHeight="1">
      <c r="A38" s="9">
        <v>46177.0</v>
      </c>
      <c r="B38" s="10" t="s">
        <v>46</v>
      </c>
      <c r="C38" s="10" t="s">
        <v>47</v>
      </c>
      <c r="D38" s="10" t="s">
        <v>82</v>
      </c>
      <c r="E38" s="15">
        <v>5.0</v>
      </c>
      <c r="F38" s="15">
        <v>2.0</v>
      </c>
      <c r="G38" s="15">
        <v>2.0</v>
      </c>
      <c r="H38" s="15" t="s">
        <v>49</v>
      </c>
      <c r="I38" s="15">
        <v>7.0</v>
      </c>
      <c r="J38" s="15">
        <v>3.0</v>
      </c>
      <c r="K38" s="15">
        <v>4.0</v>
      </c>
      <c r="L38" s="15" t="s">
        <v>49</v>
      </c>
      <c r="M38" s="11">
        <f>IF(COUNTA(E38,I38)=0,"",(IF(E38="",0,E38*Config!$B$11)+IF(I38="",0,I38*Config!$B$12))/(IF(E38="",0,Config!$B$11)+IF(I38="",0,Config!$B$12)))</f>
        <v>6</v>
      </c>
      <c r="N38" s="11">
        <f>IF(COUNTA(F38,J38)=0,"",(IF(F38="",0,F38*Config!$B$11)+IF(J38="",0,J38*Config!$B$12))/(IF(F38="",0,Config!$B$11)+IF(J38="",0,Config!$B$12)))</f>
        <v>2.5</v>
      </c>
      <c r="O38" s="11">
        <f>IF(COUNTA(G38,K38)=0,"",(IF(G38="",0,G38*Config!$B$11)+IF(K38="",0,K38*Config!$B$12))/(IF(G38="",0,Config!$B$11)+IF(K38="",0,Config!$B$12)))</f>
        <v>3</v>
      </c>
      <c r="P38" s="11">
        <f>IF(COUNTA(H38,L38)=0,"",((IF(H38="No",Config!$B$11,0)+IF(L38="No",Config!$B$12,0))/(IF(H38&lt;&gt;"",Config!$B$11,0)+IF(L38&lt;&gt;"",Config!$B$12,0)))*Config!$B$5)</f>
        <v>1</v>
      </c>
      <c r="Q38" s="12"/>
      <c r="R38" s="12"/>
      <c r="S38" s="10"/>
      <c r="T38" s="13">
        <f>IF(COUNT(M38:P38)=0,"",M38*Config!$B$2+N38*Config!$B$3+O38*Config!$B$4+P38)</f>
        <v>21</v>
      </c>
      <c r="U38" s="14" t="str">
        <f>IF(T38="","",IF(T38&gt;=Config!$B$7,"MUST SEE",IF(T38&gt;=Config!$B$8,"ALTO",IF(T38&gt;=Config!$B$9,"VALUTA","SKIP"))))</f>
        <v>ALTO</v>
      </c>
      <c r="V38" s="14" t="str">
        <f>IF(T38="","",IF(T38&gt;=Config!$B$9,"SI","NO"))</f>
        <v>SI</v>
      </c>
      <c r="W38" s="14" t="str">
        <f t="shared" si="1"/>
        <v/>
      </c>
      <c r="X38" s="14">
        <f t="shared" si="2"/>
        <v>8</v>
      </c>
      <c r="Z38" s="14" t="s">
        <v>41</v>
      </c>
      <c r="AA38" s="14" t="s">
        <v>42</v>
      </c>
    </row>
    <row r="39" ht="15.75" customHeight="1">
      <c r="A39" s="9">
        <v>46177.0</v>
      </c>
      <c r="B39" s="10" t="s">
        <v>46</v>
      </c>
      <c r="C39" s="10" t="s">
        <v>47</v>
      </c>
      <c r="D39" s="10" t="s">
        <v>83</v>
      </c>
      <c r="E39" s="15">
        <v>4.0</v>
      </c>
      <c r="F39" s="15">
        <v>1.0</v>
      </c>
      <c r="G39" s="15">
        <v>2.0</v>
      </c>
      <c r="H39" s="15" t="s">
        <v>49</v>
      </c>
      <c r="I39" s="10"/>
      <c r="J39" s="10"/>
      <c r="K39" s="10"/>
      <c r="L39" s="10"/>
      <c r="M39" s="11">
        <f>IF(COUNTA(E39,I39)=0,"",(IF(E39="",0,E39*Config!$B$11)+IF(I39="",0,I39*Config!$B$12))/(IF(E39="",0,Config!$B$11)+IF(I39="",0,Config!$B$12)))</f>
        <v>4</v>
      </c>
      <c r="N39" s="11">
        <f>IF(COUNTA(F39,J39)=0,"",(IF(F39="",0,F39*Config!$B$11)+IF(J39="",0,J39*Config!$B$12))/(IF(F39="",0,Config!$B$11)+IF(J39="",0,Config!$B$12)))</f>
        <v>1</v>
      </c>
      <c r="O39" s="11">
        <f>IF(COUNTA(G39,K39)=0,"",(IF(G39="",0,G39*Config!$B$11)+IF(K39="",0,K39*Config!$B$12))/(IF(G39="",0,Config!$B$11)+IF(K39="",0,Config!$B$12)))</f>
        <v>2</v>
      </c>
      <c r="P39" s="11">
        <f>IF(COUNTA(H39,L39)=0,"",((IF(H39="No",Config!$B$11,0)+IF(L39="No",Config!$B$12,0))/(IF(H39&lt;&gt;"",Config!$B$11,0)+IF(L39&lt;&gt;"",Config!$B$12,0)))*Config!$B$5)</f>
        <v>1</v>
      </c>
      <c r="Q39" s="12"/>
      <c r="R39" s="12"/>
      <c r="S39" s="10"/>
      <c r="T39" s="13">
        <f>IF(COUNT(M39:P39)=0,"",M39*Config!$B$2+N39*Config!$B$3+O39*Config!$B$4+P39)</f>
        <v>13</v>
      </c>
      <c r="U39" s="14" t="str">
        <f>IF(T39="","",IF(T39&gt;=Config!$B$7,"MUST SEE",IF(T39&gt;=Config!$B$8,"ALTO",IF(T39&gt;=Config!$B$9,"VALUTA","SKIP"))))</f>
        <v>VALUTA</v>
      </c>
      <c r="V39" s="14" t="str">
        <f>IF(T39="","",IF(T39&gt;=Config!$B$9,"SI","NO"))</f>
        <v>SI</v>
      </c>
      <c r="W39" s="14" t="str">
        <f t="shared" si="1"/>
        <v/>
      </c>
      <c r="X39" s="14">
        <f t="shared" si="2"/>
        <v>24</v>
      </c>
      <c r="Z39" s="14" t="s">
        <v>41</v>
      </c>
      <c r="AA39" s="14" t="s">
        <v>42</v>
      </c>
    </row>
    <row r="40" ht="15.75" customHeight="1">
      <c r="A40" s="9">
        <v>46177.0</v>
      </c>
      <c r="B40" s="10" t="s">
        <v>46</v>
      </c>
      <c r="C40" s="10" t="s">
        <v>47</v>
      </c>
      <c r="D40" s="10" t="s">
        <v>84</v>
      </c>
      <c r="E40" s="15">
        <v>8.0</v>
      </c>
      <c r="F40" s="15">
        <v>3.0</v>
      </c>
      <c r="G40" s="15">
        <v>4.0</v>
      </c>
      <c r="H40" s="15" t="s">
        <v>49</v>
      </c>
      <c r="I40" s="15">
        <v>6.0</v>
      </c>
      <c r="J40" s="15">
        <v>2.0</v>
      </c>
      <c r="K40" s="15">
        <v>3.0</v>
      </c>
      <c r="L40" s="15" t="s">
        <v>55</v>
      </c>
      <c r="M40" s="11">
        <f>IF(COUNTA(E40,I40)=0,"",(IF(E40="",0,E40*Config!$B$11)+IF(I40="",0,I40*Config!$B$12))/(IF(E40="",0,Config!$B$11)+IF(I40="",0,Config!$B$12)))</f>
        <v>7</v>
      </c>
      <c r="N40" s="11">
        <f>IF(COUNTA(F40,J40)=0,"",(IF(F40="",0,F40*Config!$B$11)+IF(J40="",0,J40*Config!$B$12))/(IF(F40="",0,Config!$B$11)+IF(J40="",0,Config!$B$12)))</f>
        <v>2.5</v>
      </c>
      <c r="O40" s="11">
        <f>IF(COUNTA(G40,K40)=0,"",(IF(G40="",0,G40*Config!$B$11)+IF(K40="",0,K40*Config!$B$12))/(IF(G40="",0,Config!$B$11)+IF(K40="",0,Config!$B$12)))</f>
        <v>3.5</v>
      </c>
      <c r="P40" s="11">
        <f>IF(COUNTA(H40,L40)=0,"",((IF(H40="No",Config!$B$11,0)+IF(L40="No",Config!$B$12,0))/(IF(H40&lt;&gt;"",Config!$B$11,0)+IF(L40&lt;&gt;"",Config!$B$12,0)))*Config!$B$5)</f>
        <v>0.5</v>
      </c>
      <c r="Q40" s="12"/>
      <c r="R40" s="12"/>
      <c r="S40" s="10"/>
      <c r="T40" s="13">
        <f>IF(COUNT(M40:P40)=0,"",M40*Config!$B$2+N40*Config!$B$3+O40*Config!$B$4+P40)</f>
        <v>23</v>
      </c>
      <c r="U40" s="14" t="str">
        <f>IF(T40="","",IF(T40&gt;=Config!$B$7,"MUST SEE",IF(T40&gt;=Config!$B$8,"ALTO",IF(T40&gt;=Config!$B$9,"VALUTA","SKIP"))))</f>
        <v>ALTO</v>
      </c>
      <c r="V40" s="14" t="str">
        <f>IF(T40="","",IF(T40&gt;=Config!$B$9,"SI","NO"))</f>
        <v>SI</v>
      </c>
      <c r="W40" s="14" t="str">
        <f t="shared" si="1"/>
        <v/>
      </c>
      <c r="X40" s="14">
        <f t="shared" si="2"/>
        <v>5</v>
      </c>
      <c r="Z40" s="14" t="s">
        <v>41</v>
      </c>
      <c r="AA40" s="14" t="s">
        <v>42</v>
      </c>
    </row>
    <row r="41" ht="15.75" customHeight="1">
      <c r="A41" s="9">
        <v>46177.0</v>
      </c>
      <c r="B41" s="10" t="s">
        <v>46</v>
      </c>
      <c r="C41" s="10" t="s">
        <v>47</v>
      </c>
      <c r="D41" s="10" t="s">
        <v>85</v>
      </c>
      <c r="E41" s="15">
        <v>6.0</v>
      </c>
      <c r="F41" s="15">
        <v>2.0</v>
      </c>
      <c r="G41" s="15">
        <v>1.0</v>
      </c>
      <c r="H41" s="15" t="s">
        <v>55</v>
      </c>
      <c r="I41" s="10"/>
      <c r="J41" s="10"/>
      <c r="K41" s="10"/>
      <c r="L41" s="10"/>
      <c r="M41" s="11">
        <f>IF(COUNTA(E41,I41)=0,"",(IF(E41="",0,E41*Config!$B$11)+IF(I41="",0,I41*Config!$B$12))/(IF(E41="",0,Config!$B$11)+IF(I41="",0,Config!$B$12)))</f>
        <v>6</v>
      </c>
      <c r="N41" s="11">
        <f>IF(COUNTA(F41,J41)=0,"",(IF(F41="",0,F41*Config!$B$11)+IF(J41="",0,J41*Config!$B$12))/(IF(F41="",0,Config!$B$11)+IF(J41="",0,Config!$B$12)))</f>
        <v>2</v>
      </c>
      <c r="O41" s="11">
        <f>IF(COUNTA(G41,K41)=0,"",(IF(G41="",0,G41*Config!$B$11)+IF(K41="",0,K41*Config!$B$12))/(IF(G41="",0,Config!$B$11)+IF(K41="",0,Config!$B$12)))</f>
        <v>1</v>
      </c>
      <c r="P41" s="11">
        <f>IF(COUNTA(H41,L41)=0,"",((IF(H41="No",Config!$B$11,0)+IF(L41="No",Config!$B$12,0))/(IF(H41&lt;&gt;"",Config!$B$11,0)+IF(L41&lt;&gt;"",Config!$B$12,0)))*Config!$B$5)</f>
        <v>0</v>
      </c>
      <c r="Q41" s="12"/>
      <c r="R41" s="12"/>
      <c r="S41" s="10"/>
      <c r="T41" s="13">
        <f>IF(COUNT(M41:P41)=0,"",M41*Config!$B$2+N41*Config!$B$3+O41*Config!$B$4+P41)</f>
        <v>17</v>
      </c>
      <c r="U41" s="14" t="str">
        <f>IF(T41="","",IF(T41&gt;=Config!$B$7,"MUST SEE",IF(T41&gt;=Config!$B$8,"ALTO",IF(T41&gt;=Config!$B$9,"VALUTA","SKIP"))))</f>
        <v>VALUTA</v>
      </c>
      <c r="V41" s="14" t="str">
        <f>IF(T41="","",IF(T41&gt;=Config!$B$9,"SI","NO"))</f>
        <v>SI</v>
      </c>
      <c r="W41" s="14" t="str">
        <f t="shared" si="1"/>
        <v/>
      </c>
      <c r="X41" s="14">
        <f t="shared" si="2"/>
        <v>17</v>
      </c>
      <c r="Z41" s="14" t="s">
        <v>41</v>
      </c>
      <c r="AA41" s="14" t="s">
        <v>42</v>
      </c>
    </row>
    <row r="42" ht="15.75" customHeight="1">
      <c r="A42" s="9">
        <v>46177.0</v>
      </c>
      <c r="B42" s="10" t="s">
        <v>46</v>
      </c>
      <c r="C42" s="10" t="s">
        <v>47</v>
      </c>
      <c r="D42" s="10" t="s">
        <v>86</v>
      </c>
      <c r="E42" s="15">
        <v>1.0</v>
      </c>
      <c r="F42" s="15">
        <v>1.0</v>
      </c>
      <c r="G42" s="15">
        <v>1.0</v>
      </c>
      <c r="H42" s="15" t="s">
        <v>49</v>
      </c>
      <c r="I42" s="10"/>
      <c r="J42" s="10"/>
      <c r="K42" s="10"/>
      <c r="L42" s="10"/>
      <c r="M42" s="11">
        <f>IF(COUNTA(E42,I42)=0,"",(IF(E42="",0,E42*Config!$B$11)+IF(I42="",0,I42*Config!$B$12))/(IF(E42="",0,Config!$B$11)+IF(I42="",0,Config!$B$12)))</f>
        <v>1</v>
      </c>
      <c r="N42" s="11">
        <f>IF(COUNTA(F42,J42)=0,"",(IF(F42="",0,F42*Config!$B$11)+IF(J42="",0,J42*Config!$B$12))/(IF(F42="",0,Config!$B$11)+IF(J42="",0,Config!$B$12)))</f>
        <v>1</v>
      </c>
      <c r="O42" s="11">
        <f>IF(COUNTA(G42,K42)=0,"",(IF(G42="",0,G42*Config!$B$11)+IF(K42="",0,K42*Config!$B$12))/(IF(G42="",0,Config!$B$11)+IF(K42="",0,Config!$B$12)))</f>
        <v>1</v>
      </c>
      <c r="P42" s="11">
        <f>IF(COUNTA(H42,L42)=0,"",((IF(H42="No",Config!$B$11,0)+IF(L42="No",Config!$B$12,0))/(IF(H42&lt;&gt;"",Config!$B$11,0)+IF(L42&lt;&gt;"",Config!$B$12,0)))*Config!$B$5)</f>
        <v>1</v>
      </c>
      <c r="Q42" s="12"/>
      <c r="R42" s="12"/>
      <c r="S42" s="10"/>
      <c r="T42" s="13">
        <f>IF(COUNT(M42:P42)=0,"",M42*Config!$B$2+N42*Config!$B$3+O42*Config!$B$4+P42)</f>
        <v>6</v>
      </c>
      <c r="U42" s="14" t="str">
        <f>IF(T42="","",IF(T42&gt;=Config!$B$7,"MUST SEE",IF(T42&gt;=Config!$B$8,"ALTO",IF(T42&gt;=Config!$B$9,"VALUTA","SKIP"))))</f>
        <v>SKIP</v>
      </c>
      <c r="V42" s="14" t="str">
        <f>IF(T42="","",IF(T42&gt;=Config!$B$9,"SI","NO"))</f>
        <v>NO</v>
      </c>
      <c r="W42" s="14" t="str">
        <f t="shared" si="1"/>
        <v/>
      </c>
      <c r="X42" s="14">
        <f t="shared" si="2"/>
        <v>38</v>
      </c>
      <c r="Z42" s="14" t="s">
        <v>41</v>
      </c>
      <c r="AA42" s="14" t="s">
        <v>42</v>
      </c>
    </row>
    <row r="43" ht="15.75" customHeight="1">
      <c r="A43" s="9">
        <v>46177.0</v>
      </c>
      <c r="B43" s="10" t="s">
        <v>46</v>
      </c>
      <c r="C43" s="10" t="s">
        <v>47</v>
      </c>
      <c r="D43" s="10" t="s">
        <v>87</v>
      </c>
      <c r="E43" s="15">
        <v>4.0</v>
      </c>
      <c r="F43" s="15">
        <v>1.0</v>
      </c>
      <c r="G43" s="15">
        <v>2.0</v>
      </c>
      <c r="H43" s="15" t="s">
        <v>49</v>
      </c>
      <c r="I43" s="10"/>
      <c r="J43" s="10"/>
      <c r="K43" s="10"/>
      <c r="L43" s="10"/>
      <c r="M43" s="11">
        <f>IF(COUNTA(E43,I43)=0,"",(IF(E43="",0,E43*Config!$B$11)+IF(I43="",0,I43*Config!$B$12))/(IF(E43="",0,Config!$B$11)+IF(I43="",0,Config!$B$12)))</f>
        <v>4</v>
      </c>
      <c r="N43" s="11">
        <f>IF(COUNTA(F43,J43)=0,"",(IF(F43="",0,F43*Config!$B$11)+IF(J43="",0,J43*Config!$B$12))/(IF(F43="",0,Config!$B$11)+IF(J43="",0,Config!$B$12)))</f>
        <v>1</v>
      </c>
      <c r="O43" s="11">
        <f>IF(COUNTA(G43,K43)=0,"",(IF(G43="",0,G43*Config!$B$11)+IF(K43="",0,K43*Config!$B$12))/(IF(G43="",0,Config!$B$11)+IF(K43="",0,Config!$B$12)))</f>
        <v>2</v>
      </c>
      <c r="P43" s="11">
        <f>IF(COUNTA(H43,L43)=0,"",((IF(H43="No",Config!$B$11,0)+IF(L43="No",Config!$B$12,0))/(IF(H43&lt;&gt;"",Config!$B$11,0)+IF(L43&lt;&gt;"",Config!$B$12,0)))*Config!$B$5)</f>
        <v>1</v>
      </c>
      <c r="Q43" s="12"/>
      <c r="R43" s="12"/>
      <c r="S43" s="10"/>
      <c r="T43" s="13">
        <f>IF(COUNT(M43:P43)=0,"",M43*Config!$B$2+N43*Config!$B$3+O43*Config!$B$4+P43)</f>
        <v>13</v>
      </c>
      <c r="U43" s="14" t="str">
        <f>IF(T43="","",IF(T43&gt;=Config!$B$7,"MUST SEE",IF(T43&gt;=Config!$B$8,"ALTO",IF(T43&gt;=Config!$B$9,"VALUTA","SKIP"))))</f>
        <v>VALUTA</v>
      </c>
      <c r="V43" s="14" t="str">
        <f>IF(T43="","",IF(T43&gt;=Config!$B$9,"SI","NO"))</f>
        <v>SI</v>
      </c>
      <c r="W43" s="14" t="str">
        <f t="shared" si="1"/>
        <v/>
      </c>
      <c r="X43" s="14">
        <f t="shared" si="2"/>
        <v>24</v>
      </c>
      <c r="Z43" s="14" t="s">
        <v>41</v>
      </c>
      <c r="AA43" s="14" t="s">
        <v>42</v>
      </c>
    </row>
    <row r="44" ht="15.75" customHeight="1">
      <c r="A44" s="9">
        <v>46177.0</v>
      </c>
      <c r="B44" s="10" t="s">
        <v>46</v>
      </c>
      <c r="C44" s="10" t="s">
        <v>47</v>
      </c>
      <c r="D44" s="10" t="s">
        <v>88</v>
      </c>
      <c r="E44" s="15">
        <v>4.0</v>
      </c>
      <c r="F44" s="15">
        <v>1.0</v>
      </c>
      <c r="G44" s="15">
        <v>1.0</v>
      </c>
      <c r="H44" s="15" t="s">
        <v>49</v>
      </c>
      <c r="I44" s="10"/>
      <c r="J44" s="10"/>
      <c r="K44" s="10"/>
      <c r="L44" s="10"/>
      <c r="M44" s="11">
        <f>IF(COUNTA(E44,I44)=0,"",(IF(E44="",0,E44*Config!$B$11)+IF(I44="",0,I44*Config!$B$12))/(IF(E44="",0,Config!$B$11)+IF(I44="",0,Config!$B$12)))</f>
        <v>4</v>
      </c>
      <c r="N44" s="11">
        <f>IF(COUNTA(F44,J44)=0,"",(IF(F44="",0,F44*Config!$B$11)+IF(J44="",0,J44*Config!$B$12))/(IF(F44="",0,Config!$B$11)+IF(J44="",0,Config!$B$12)))</f>
        <v>1</v>
      </c>
      <c r="O44" s="11">
        <f>IF(COUNTA(G44,K44)=0,"",(IF(G44="",0,G44*Config!$B$11)+IF(K44="",0,K44*Config!$B$12))/(IF(G44="",0,Config!$B$11)+IF(K44="",0,Config!$B$12)))</f>
        <v>1</v>
      </c>
      <c r="P44" s="11">
        <f>IF(COUNTA(H44,L44)=0,"",((IF(H44="No",Config!$B$11,0)+IF(L44="No",Config!$B$12,0))/(IF(H44&lt;&gt;"",Config!$B$11,0)+IF(L44&lt;&gt;"",Config!$B$12,0)))*Config!$B$5)</f>
        <v>1</v>
      </c>
      <c r="Q44" s="12"/>
      <c r="R44" s="12"/>
      <c r="S44" s="10"/>
      <c r="T44" s="13">
        <f>IF(COUNT(M44:P44)=0,"",M44*Config!$B$2+N44*Config!$B$3+O44*Config!$B$4+P44)</f>
        <v>12</v>
      </c>
      <c r="U44" s="14" t="str">
        <f>IF(T44="","",IF(T44&gt;=Config!$B$7,"MUST SEE",IF(T44&gt;=Config!$B$8,"ALTO",IF(T44&gt;=Config!$B$9,"VALUTA","SKIP"))))</f>
        <v>SKIP</v>
      </c>
      <c r="V44" s="14" t="str">
        <f>IF(T44="","",IF(T44&gt;=Config!$B$9,"SI","NO"))</f>
        <v>NO</v>
      </c>
      <c r="W44" s="14" t="str">
        <f t="shared" si="1"/>
        <v/>
      </c>
      <c r="X44" s="14">
        <f t="shared" si="2"/>
        <v>30</v>
      </c>
      <c r="Z44" s="14" t="s">
        <v>41</v>
      </c>
      <c r="AA44" s="14" t="s">
        <v>42</v>
      </c>
    </row>
    <row r="45" ht="15.75" customHeight="1">
      <c r="A45" s="9">
        <v>46177.0</v>
      </c>
      <c r="B45" s="10" t="s">
        <v>46</v>
      </c>
      <c r="C45" s="10" t="s">
        <v>47</v>
      </c>
      <c r="D45" s="10" t="s">
        <v>89</v>
      </c>
      <c r="E45" s="15">
        <v>1.0</v>
      </c>
      <c r="F45" s="15">
        <v>1.0</v>
      </c>
      <c r="G45" s="15">
        <v>1.0</v>
      </c>
      <c r="H45" s="15" t="s">
        <v>49</v>
      </c>
      <c r="I45" s="10"/>
      <c r="J45" s="10"/>
      <c r="K45" s="10"/>
      <c r="L45" s="10"/>
      <c r="M45" s="11">
        <f>IF(COUNTA(E45,I45)=0,"",(IF(E45="",0,E45*Config!$B$11)+IF(I45="",0,I45*Config!$B$12))/(IF(E45="",0,Config!$B$11)+IF(I45="",0,Config!$B$12)))</f>
        <v>1</v>
      </c>
      <c r="N45" s="11">
        <f>IF(COUNTA(F45,J45)=0,"",(IF(F45="",0,F45*Config!$B$11)+IF(J45="",0,J45*Config!$B$12))/(IF(F45="",0,Config!$B$11)+IF(J45="",0,Config!$B$12)))</f>
        <v>1</v>
      </c>
      <c r="O45" s="11">
        <f>IF(COUNTA(G45,K45)=0,"",(IF(G45="",0,G45*Config!$B$11)+IF(K45="",0,K45*Config!$B$12))/(IF(G45="",0,Config!$B$11)+IF(K45="",0,Config!$B$12)))</f>
        <v>1</v>
      </c>
      <c r="P45" s="11">
        <f>IF(COUNTA(H45,L45)=0,"",((IF(H45="No",Config!$B$11,0)+IF(L45="No",Config!$B$12,0))/(IF(H45&lt;&gt;"",Config!$B$11,0)+IF(L45&lt;&gt;"",Config!$B$12,0)))*Config!$B$5)</f>
        <v>1</v>
      </c>
      <c r="Q45" s="12"/>
      <c r="R45" s="12"/>
      <c r="S45" s="10"/>
      <c r="T45" s="13">
        <f>IF(COUNT(M45:P45)=0,"",M45*Config!$B$2+N45*Config!$B$3+O45*Config!$B$4+P45)</f>
        <v>6</v>
      </c>
      <c r="U45" s="14" t="str">
        <f>IF(T45="","",IF(T45&gt;=Config!$B$7,"MUST SEE",IF(T45&gt;=Config!$B$8,"ALTO",IF(T45&gt;=Config!$B$9,"VALUTA","SKIP"))))</f>
        <v>SKIP</v>
      </c>
      <c r="V45" s="14" t="str">
        <f>IF(T45="","",IF(T45&gt;=Config!$B$9,"SI","NO"))</f>
        <v>NO</v>
      </c>
      <c r="W45" s="14" t="str">
        <f t="shared" si="1"/>
        <v/>
      </c>
      <c r="X45" s="14">
        <f t="shared" si="2"/>
        <v>38</v>
      </c>
      <c r="Z45" s="14" t="s">
        <v>41</v>
      </c>
      <c r="AA45" s="14" t="s">
        <v>42</v>
      </c>
    </row>
    <row r="46" ht="15.75" customHeight="1">
      <c r="A46" s="9">
        <v>46177.0</v>
      </c>
      <c r="B46" s="10" t="s">
        <v>46</v>
      </c>
      <c r="C46" s="10" t="s">
        <v>47</v>
      </c>
      <c r="D46" s="10" t="s">
        <v>90</v>
      </c>
      <c r="E46" s="15">
        <v>2.0</v>
      </c>
      <c r="F46" s="15">
        <v>1.0</v>
      </c>
      <c r="G46" s="15">
        <v>1.0</v>
      </c>
      <c r="H46" s="15" t="s">
        <v>49</v>
      </c>
      <c r="I46" s="10"/>
      <c r="J46" s="10"/>
      <c r="K46" s="10"/>
      <c r="L46" s="10"/>
      <c r="M46" s="11">
        <f>IF(COUNTA(E46,I46)=0,"",(IF(E46="",0,E46*Config!$B$11)+IF(I46="",0,I46*Config!$B$12))/(IF(E46="",0,Config!$B$11)+IF(I46="",0,Config!$B$12)))</f>
        <v>2</v>
      </c>
      <c r="N46" s="11">
        <f>IF(COUNTA(F46,J46)=0,"",(IF(F46="",0,F46*Config!$B$11)+IF(J46="",0,J46*Config!$B$12))/(IF(F46="",0,Config!$B$11)+IF(J46="",0,Config!$B$12)))</f>
        <v>1</v>
      </c>
      <c r="O46" s="11">
        <f>IF(COUNTA(G46,K46)=0,"",(IF(G46="",0,G46*Config!$B$11)+IF(K46="",0,K46*Config!$B$12))/(IF(G46="",0,Config!$B$11)+IF(K46="",0,Config!$B$12)))</f>
        <v>1</v>
      </c>
      <c r="P46" s="11">
        <f>IF(COUNTA(H46,L46)=0,"",((IF(H46="No",Config!$B$11,0)+IF(L46="No",Config!$B$12,0))/(IF(H46&lt;&gt;"",Config!$B$11,0)+IF(L46&lt;&gt;"",Config!$B$12,0)))*Config!$B$5)</f>
        <v>1</v>
      </c>
      <c r="Q46" s="12"/>
      <c r="R46" s="12"/>
      <c r="S46" s="10"/>
      <c r="T46" s="13">
        <f>IF(COUNT(M46:P46)=0,"",M46*Config!$B$2+N46*Config!$B$3+O46*Config!$B$4+P46)</f>
        <v>8</v>
      </c>
      <c r="U46" s="14" t="str">
        <f>IF(T46="","",IF(T46&gt;=Config!$B$7,"MUST SEE",IF(T46&gt;=Config!$B$8,"ALTO",IF(T46&gt;=Config!$B$9,"VALUTA","SKIP"))))</f>
        <v>SKIP</v>
      </c>
      <c r="V46" s="14" t="str">
        <f>IF(T46="","",IF(T46&gt;=Config!$B$9,"SI","NO"))</f>
        <v>NO</v>
      </c>
      <c r="W46" s="14" t="str">
        <f t="shared" si="1"/>
        <v/>
      </c>
      <c r="X46" s="14">
        <f t="shared" si="2"/>
        <v>36</v>
      </c>
      <c r="Z46" s="14" t="s">
        <v>41</v>
      </c>
      <c r="AA46" s="14" t="s">
        <v>42</v>
      </c>
    </row>
    <row r="47" ht="15.75" customHeight="1">
      <c r="A47" s="9">
        <v>46177.0</v>
      </c>
      <c r="B47" s="10" t="s">
        <v>46</v>
      </c>
      <c r="C47" s="10" t="s">
        <v>47</v>
      </c>
      <c r="D47" s="10" t="s">
        <v>91</v>
      </c>
      <c r="E47" s="10"/>
      <c r="F47" s="10"/>
      <c r="G47" s="10"/>
      <c r="H47" s="15" t="s">
        <v>49</v>
      </c>
      <c r="I47" s="10"/>
      <c r="J47" s="10"/>
      <c r="K47" s="10"/>
      <c r="L47" s="10"/>
      <c r="M47" s="11" t="str">
        <f>IF(COUNTA(E47,I47)=0,"",(IF(E47="",0,E47*Config!$B$11)+IF(I47="",0,I47*Config!$B$12))/(IF(E47="",0,Config!$B$11)+IF(I47="",0,Config!$B$12)))</f>
        <v/>
      </c>
      <c r="N47" s="11" t="str">
        <f>IF(COUNTA(F47,J47)=0,"",(IF(F47="",0,F47*Config!$B$11)+IF(J47="",0,J47*Config!$B$12))/(IF(F47="",0,Config!$B$11)+IF(J47="",0,Config!$B$12)))</f>
        <v/>
      </c>
      <c r="O47" s="11" t="str">
        <f>IF(COUNTA(G47,K47)=0,"",(IF(G47="",0,G47*Config!$B$11)+IF(K47="",0,K47*Config!$B$12))/(IF(G47="",0,Config!$B$11)+IF(K47="",0,Config!$B$12)))</f>
        <v/>
      </c>
      <c r="P47" s="11">
        <f>IF(COUNTA(H47,L47)=0,"",((IF(H47="No",Config!$B$11,0)+IF(L47="No",Config!$B$12,0))/(IF(H47&lt;&gt;"",Config!$B$11,0)+IF(L47&lt;&gt;"",Config!$B$12,0)))*Config!$B$5)</f>
        <v>1</v>
      </c>
      <c r="Q47" s="12"/>
      <c r="R47" s="12"/>
      <c r="S47" s="10"/>
      <c r="T47" s="13">
        <f>IF(COUNT(M47:P47)=0,"",M47*Config!$B$2+N47*Config!$B$3+O47*Config!$B$4+P47)</f>
        <v>1</v>
      </c>
      <c r="U47" s="14" t="str">
        <f>IF(T47="","",IF(T47&gt;=Config!$B$7,"MUST SEE",IF(T47&gt;=Config!$B$8,"ALTO",IF(T47&gt;=Config!$B$9,"VALUTA","SKIP"))))</f>
        <v>SKIP</v>
      </c>
      <c r="V47" s="14" t="str">
        <f>IF(T47="","",IF(T47&gt;=Config!$B$9,"SI","NO"))</f>
        <v>NO</v>
      </c>
      <c r="W47" s="14" t="str">
        <f t="shared" si="1"/>
        <v/>
      </c>
      <c r="X47" s="14">
        <f t="shared" si="2"/>
        <v>45</v>
      </c>
      <c r="Z47" s="14" t="s">
        <v>41</v>
      </c>
      <c r="AA47" s="14" t="s">
        <v>42</v>
      </c>
    </row>
    <row r="48" ht="15.75" customHeight="1">
      <c r="A48" s="9">
        <v>46177.0</v>
      </c>
      <c r="B48" s="10" t="s">
        <v>46</v>
      </c>
      <c r="C48" s="10" t="s">
        <v>47</v>
      </c>
      <c r="D48" s="10" t="s">
        <v>92</v>
      </c>
      <c r="E48" s="15">
        <v>4.0</v>
      </c>
      <c r="F48" s="15">
        <v>1.0</v>
      </c>
      <c r="G48" s="15">
        <v>2.0</v>
      </c>
      <c r="H48" s="15" t="s">
        <v>49</v>
      </c>
      <c r="I48" s="10"/>
      <c r="J48" s="10"/>
      <c r="K48" s="10"/>
      <c r="L48" s="10"/>
      <c r="M48" s="11">
        <f>IF(COUNTA(E48,I48)=0,"",(IF(E48="",0,E48*Config!$B$11)+IF(I48="",0,I48*Config!$B$12))/(IF(E48="",0,Config!$B$11)+IF(I48="",0,Config!$B$12)))</f>
        <v>4</v>
      </c>
      <c r="N48" s="11">
        <f>IF(COUNTA(F48,J48)=0,"",(IF(F48="",0,F48*Config!$B$11)+IF(J48="",0,J48*Config!$B$12))/(IF(F48="",0,Config!$B$11)+IF(J48="",0,Config!$B$12)))</f>
        <v>1</v>
      </c>
      <c r="O48" s="11">
        <f>IF(COUNTA(G48,K48)=0,"",(IF(G48="",0,G48*Config!$B$11)+IF(K48="",0,K48*Config!$B$12))/(IF(G48="",0,Config!$B$11)+IF(K48="",0,Config!$B$12)))</f>
        <v>2</v>
      </c>
      <c r="P48" s="11">
        <f>IF(COUNTA(H48,L48)=0,"",((IF(H48="No",Config!$B$11,0)+IF(L48="No",Config!$B$12,0))/(IF(H48&lt;&gt;"",Config!$B$11,0)+IF(L48&lt;&gt;"",Config!$B$12,0)))*Config!$B$5)</f>
        <v>1</v>
      </c>
      <c r="Q48" s="12"/>
      <c r="R48" s="12"/>
      <c r="S48" s="10"/>
      <c r="T48" s="13">
        <f>IF(COUNT(M48:P48)=0,"",M48*Config!$B$2+N48*Config!$B$3+O48*Config!$B$4+P48)</f>
        <v>13</v>
      </c>
      <c r="U48" s="14" t="str">
        <f>IF(T48="","",IF(T48&gt;=Config!$B$7,"MUST SEE",IF(T48&gt;=Config!$B$8,"ALTO",IF(T48&gt;=Config!$B$9,"VALUTA","SKIP"))))</f>
        <v>VALUTA</v>
      </c>
      <c r="V48" s="14" t="str">
        <f>IF(T48="","",IF(T48&gt;=Config!$B$9,"SI","NO"))</f>
        <v>SI</v>
      </c>
      <c r="W48" s="14" t="str">
        <f t="shared" si="1"/>
        <v/>
      </c>
      <c r="X48" s="14">
        <f t="shared" si="2"/>
        <v>24</v>
      </c>
      <c r="Z48" s="14" t="s">
        <v>41</v>
      </c>
      <c r="AA48" s="14" t="s">
        <v>42</v>
      </c>
    </row>
    <row r="49" ht="15.75" customHeight="1">
      <c r="A49" s="9">
        <v>46177.0</v>
      </c>
      <c r="B49" s="10" t="s">
        <v>46</v>
      </c>
      <c r="C49" s="10" t="s">
        <v>47</v>
      </c>
      <c r="D49" s="10" t="s">
        <v>93</v>
      </c>
      <c r="E49" s="15">
        <v>1.0</v>
      </c>
      <c r="F49" s="15">
        <v>1.0</v>
      </c>
      <c r="G49" s="15">
        <v>1.0</v>
      </c>
      <c r="H49" s="15" t="s">
        <v>49</v>
      </c>
      <c r="I49" s="10"/>
      <c r="J49" s="10"/>
      <c r="K49" s="10"/>
      <c r="L49" s="10"/>
      <c r="M49" s="11">
        <f>IF(COUNTA(E49,I49)=0,"",(IF(E49="",0,E49*Config!$B$11)+IF(I49="",0,I49*Config!$B$12))/(IF(E49="",0,Config!$B$11)+IF(I49="",0,Config!$B$12)))</f>
        <v>1</v>
      </c>
      <c r="N49" s="11">
        <f>IF(COUNTA(F49,J49)=0,"",(IF(F49="",0,F49*Config!$B$11)+IF(J49="",0,J49*Config!$B$12))/(IF(F49="",0,Config!$B$11)+IF(J49="",0,Config!$B$12)))</f>
        <v>1</v>
      </c>
      <c r="O49" s="11">
        <f>IF(COUNTA(G49,K49)=0,"",(IF(G49="",0,G49*Config!$B$11)+IF(K49="",0,K49*Config!$B$12))/(IF(G49="",0,Config!$B$11)+IF(K49="",0,Config!$B$12)))</f>
        <v>1</v>
      </c>
      <c r="P49" s="11">
        <f>IF(COUNTA(H49,L49)=0,"",((IF(H49="No",Config!$B$11,0)+IF(L49="No",Config!$B$12,0))/(IF(H49&lt;&gt;"",Config!$B$11,0)+IF(L49&lt;&gt;"",Config!$B$12,0)))*Config!$B$5)</f>
        <v>1</v>
      </c>
      <c r="Q49" s="12"/>
      <c r="R49" s="12"/>
      <c r="S49" s="10"/>
      <c r="T49" s="13">
        <f>IF(COUNT(M49:P49)=0,"",M49*Config!$B$2+N49*Config!$B$3+O49*Config!$B$4+P49)</f>
        <v>6</v>
      </c>
      <c r="U49" s="14" t="str">
        <f>IF(T49="","",IF(T49&gt;=Config!$B$7,"MUST SEE",IF(T49&gt;=Config!$B$8,"ALTO",IF(T49&gt;=Config!$B$9,"VALUTA","SKIP"))))</f>
        <v>SKIP</v>
      </c>
      <c r="V49" s="14" t="str">
        <f>IF(T49="","",IF(T49&gt;=Config!$B$9,"SI","NO"))</f>
        <v>NO</v>
      </c>
      <c r="W49" s="14" t="str">
        <f t="shared" si="1"/>
        <v/>
      </c>
      <c r="X49" s="14">
        <f t="shared" si="2"/>
        <v>38</v>
      </c>
      <c r="Z49" s="14" t="s">
        <v>41</v>
      </c>
      <c r="AA49" s="14" t="s">
        <v>42</v>
      </c>
    </row>
    <row r="50" ht="15.75" customHeight="1">
      <c r="A50" s="9">
        <v>46177.0</v>
      </c>
      <c r="B50" s="10" t="s">
        <v>46</v>
      </c>
      <c r="C50" s="10" t="s">
        <v>47</v>
      </c>
      <c r="D50" s="10" t="s">
        <v>94</v>
      </c>
      <c r="E50" s="15">
        <v>2.0</v>
      </c>
      <c r="F50" s="15">
        <v>1.0</v>
      </c>
      <c r="G50" s="15">
        <v>1.0</v>
      </c>
      <c r="H50" s="15" t="s">
        <v>49</v>
      </c>
      <c r="I50" s="10"/>
      <c r="J50" s="10"/>
      <c r="K50" s="10"/>
      <c r="L50" s="10"/>
      <c r="M50" s="11">
        <f>IF(COUNTA(E50,I50)=0,"",(IF(E50="",0,E50*Config!$B$11)+IF(I50="",0,I50*Config!$B$12))/(IF(E50="",0,Config!$B$11)+IF(I50="",0,Config!$B$12)))</f>
        <v>2</v>
      </c>
      <c r="N50" s="11">
        <f>IF(COUNTA(F50,J50)=0,"",(IF(F50="",0,F50*Config!$B$11)+IF(J50="",0,J50*Config!$B$12))/(IF(F50="",0,Config!$B$11)+IF(J50="",0,Config!$B$12)))</f>
        <v>1</v>
      </c>
      <c r="O50" s="11">
        <f>IF(COUNTA(G50,K50)=0,"",(IF(G50="",0,G50*Config!$B$11)+IF(K50="",0,K50*Config!$B$12))/(IF(G50="",0,Config!$B$11)+IF(K50="",0,Config!$B$12)))</f>
        <v>1</v>
      </c>
      <c r="P50" s="11">
        <f>IF(COUNTA(H50,L50)=0,"",((IF(H50="No",Config!$B$11,0)+IF(L50="No",Config!$B$12,0))/(IF(H50&lt;&gt;"",Config!$B$11,0)+IF(L50&lt;&gt;"",Config!$B$12,0)))*Config!$B$5)</f>
        <v>1</v>
      </c>
      <c r="Q50" s="12"/>
      <c r="R50" s="12"/>
      <c r="S50" s="10"/>
      <c r="T50" s="13">
        <f>IF(COUNT(M50:P50)=0,"",M50*Config!$B$2+N50*Config!$B$3+O50*Config!$B$4+P50)</f>
        <v>8</v>
      </c>
      <c r="U50" s="14" t="str">
        <f>IF(T50="","",IF(T50&gt;=Config!$B$7,"MUST SEE",IF(T50&gt;=Config!$B$8,"ALTO",IF(T50&gt;=Config!$B$9,"VALUTA","SKIP"))))</f>
        <v>SKIP</v>
      </c>
      <c r="V50" s="14" t="str">
        <f>IF(T50="","",IF(T50&gt;=Config!$B$9,"SI","NO"))</f>
        <v>NO</v>
      </c>
      <c r="W50" s="14" t="str">
        <f t="shared" si="1"/>
        <v/>
      </c>
      <c r="X50" s="14">
        <f t="shared" si="2"/>
        <v>36</v>
      </c>
      <c r="Z50" s="14" t="s">
        <v>41</v>
      </c>
      <c r="AA50" s="14" t="s">
        <v>42</v>
      </c>
    </row>
    <row r="51" ht="15.75" customHeight="1">
      <c r="A51" s="9">
        <v>46177.0</v>
      </c>
      <c r="B51" s="10" t="s">
        <v>46</v>
      </c>
      <c r="C51" s="10" t="s">
        <v>47</v>
      </c>
      <c r="D51" s="10" t="s">
        <v>95</v>
      </c>
      <c r="E51" s="15">
        <v>4.0</v>
      </c>
      <c r="F51" s="15">
        <v>1.0</v>
      </c>
      <c r="G51" s="15">
        <v>1.0</v>
      </c>
      <c r="H51" s="15" t="s">
        <v>49</v>
      </c>
      <c r="I51" s="10"/>
      <c r="J51" s="10"/>
      <c r="K51" s="10"/>
      <c r="L51" s="10"/>
      <c r="M51" s="11">
        <f>IF(COUNTA(E51,I51)=0,"",(IF(E51="",0,E51*Config!$B$11)+IF(I51="",0,I51*Config!$B$12))/(IF(E51="",0,Config!$B$11)+IF(I51="",0,Config!$B$12)))</f>
        <v>4</v>
      </c>
      <c r="N51" s="11">
        <f>IF(COUNTA(F51,J51)=0,"",(IF(F51="",0,F51*Config!$B$11)+IF(J51="",0,J51*Config!$B$12))/(IF(F51="",0,Config!$B$11)+IF(J51="",0,Config!$B$12)))</f>
        <v>1</v>
      </c>
      <c r="O51" s="11">
        <f>IF(COUNTA(G51,K51)=0,"",(IF(G51="",0,G51*Config!$B$11)+IF(K51="",0,K51*Config!$B$12))/(IF(G51="",0,Config!$B$11)+IF(K51="",0,Config!$B$12)))</f>
        <v>1</v>
      </c>
      <c r="P51" s="11">
        <f>IF(COUNTA(H51,L51)=0,"",((IF(H51="No",Config!$B$11,0)+IF(L51="No",Config!$B$12,0))/(IF(H51&lt;&gt;"",Config!$B$11,0)+IF(L51&lt;&gt;"",Config!$B$12,0)))*Config!$B$5)</f>
        <v>1</v>
      </c>
      <c r="Q51" s="12"/>
      <c r="R51" s="12"/>
      <c r="S51" s="10"/>
      <c r="T51" s="13">
        <f>IF(COUNT(M51:P51)=0,"",M51*Config!$B$2+N51*Config!$B$3+O51*Config!$B$4+P51)</f>
        <v>12</v>
      </c>
      <c r="U51" s="14" t="str">
        <f>IF(T51="","",IF(T51&gt;=Config!$B$7,"MUST SEE",IF(T51&gt;=Config!$B$8,"ALTO",IF(T51&gt;=Config!$B$9,"VALUTA","SKIP"))))</f>
        <v>SKIP</v>
      </c>
      <c r="V51" s="14" t="str">
        <f>IF(T51="","",IF(T51&gt;=Config!$B$9,"SI","NO"))</f>
        <v>NO</v>
      </c>
      <c r="W51" s="14" t="str">
        <f t="shared" si="1"/>
        <v/>
      </c>
      <c r="X51" s="14">
        <f t="shared" si="2"/>
        <v>30</v>
      </c>
      <c r="Z51" s="14" t="s">
        <v>41</v>
      </c>
      <c r="AA51" s="14" t="s">
        <v>42</v>
      </c>
    </row>
    <row r="52" ht="15.75" customHeight="1">
      <c r="A52" s="9">
        <v>46177.0</v>
      </c>
      <c r="B52" s="10" t="s">
        <v>46</v>
      </c>
      <c r="C52" s="10" t="s">
        <v>47</v>
      </c>
      <c r="D52" s="10" t="s">
        <v>96</v>
      </c>
      <c r="E52" s="10"/>
      <c r="F52" s="10"/>
      <c r="G52" s="10"/>
      <c r="H52" s="15" t="s">
        <v>49</v>
      </c>
      <c r="I52" s="10"/>
      <c r="J52" s="10"/>
      <c r="K52" s="10"/>
      <c r="L52" s="10"/>
      <c r="M52" s="11" t="str">
        <f>IF(COUNTA(E52,I52)=0,"",(IF(E52="",0,E52*Config!$B$11)+IF(I52="",0,I52*Config!$B$12))/(IF(E52="",0,Config!$B$11)+IF(I52="",0,Config!$B$12)))</f>
        <v/>
      </c>
      <c r="N52" s="11" t="str">
        <f>IF(COUNTA(F52,J52)=0,"",(IF(F52="",0,F52*Config!$B$11)+IF(J52="",0,J52*Config!$B$12))/(IF(F52="",0,Config!$B$11)+IF(J52="",0,Config!$B$12)))</f>
        <v/>
      </c>
      <c r="O52" s="11" t="str">
        <f>IF(COUNTA(G52,K52)=0,"",(IF(G52="",0,G52*Config!$B$11)+IF(K52="",0,K52*Config!$B$12))/(IF(G52="",0,Config!$B$11)+IF(K52="",0,Config!$B$12)))</f>
        <v/>
      </c>
      <c r="P52" s="11">
        <f>IF(COUNTA(H52,L52)=0,"",((IF(H52="No",Config!$B$11,0)+IF(L52="No",Config!$B$12,0))/(IF(H52&lt;&gt;"",Config!$B$11,0)+IF(L52&lt;&gt;"",Config!$B$12,0)))*Config!$B$5)</f>
        <v>1</v>
      </c>
      <c r="Q52" s="12"/>
      <c r="R52" s="12"/>
      <c r="S52" s="10"/>
      <c r="T52" s="13">
        <f>IF(COUNT(M52:P52)=0,"",M52*Config!$B$2+N52*Config!$B$3+O52*Config!$B$4+P52)</f>
        <v>1</v>
      </c>
      <c r="U52" s="14" t="str">
        <f>IF(T52="","",IF(T52&gt;=Config!$B$7,"MUST SEE",IF(T52&gt;=Config!$B$8,"ALTO",IF(T52&gt;=Config!$B$9,"VALUTA","SKIP"))))</f>
        <v>SKIP</v>
      </c>
      <c r="V52" s="14" t="str">
        <f>IF(T52="","",IF(T52&gt;=Config!$B$9,"SI","NO"))</f>
        <v>NO</v>
      </c>
      <c r="W52" s="14" t="str">
        <f t="shared" si="1"/>
        <v/>
      </c>
      <c r="X52" s="14">
        <f t="shared" si="2"/>
        <v>45</v>
      </c>
      <c r="Z52" s="14" t="s">
        <v>41</v>
      </c>
      <c r="AA52" s="14" t="s">
        <v>42</v>
      </c>
    </row>
    <row r="53" ht="15.75" customHeight="1">
      <c r="A53" s="9">
        <v>46178.0</v>
      </c>
      <c r="B53" s="10" t="s">
        <v>97</v>
      </c>
      <c r="C53" s="10" t="s">
        <v>47</v>
      </c>
      <c r="D53" s="10" t="s">
        <v>98</v>
      </c>
      <c r="E53" s="10"/>
      <c r="F53" s="10"/>
      <c r="G53" s="10"/>
      <c r="H53" s="15" t="s">
        <v>49</v>
      </c>
      <c r="I53" s="10"/>
      <c r="J53" s="10"/>
      <c r="K53" s="10"/>
      <c r="L53" s="10"/>
      <c r="M53" s="11" t="str">
        <f>IF(COUNTA(E53,I53)=0,"",(IF(E53="",0,E53*Config!$B$11)+IF(I53="",0,I53*Config!$B$12))/(IF(E53="",0,Config!$B$11)+IF(I53="",0,Config!$B$12)))</f>
        <v/>
      </c>
      <c r="N53" s="11" t="str">
        <f>IF(COUNTA(F53,J53)=0,"",(IF(F53="",0,F53*Config!$B$11)+IF(J53="",0,J53*Config!$B$12))/(IF(F53="",0,Config!$B$11)+IF(J53="",0,Config!$B$12)))</f>
        <v/>
      </c>
      <c r="O53" s="11" t="str">
        <f>IF(COUNTA(G53,K53)=0,"",(IF(G53="",0,G53*Config!$B$11)+IF(K53="",0,K53*Config!$B$12))/(IF(G53="",0,Config!$B$11)+IF(K53="",0,Config!$B$12)))</f>
        <v/>
      </c>
      <c r="P53" s="11">
        <f>IF(COUNTA(H53,L53)=0,"",((IF(H53="No",Config!$B$11,0)+IF(L53="No",Config!$B$12,0))/(IF(H53&lt;&gt;"",Config!$B$11,0)+IF(L53&lt;&gt;"",Config!$B$12,0)))*Config!$B$5)</f>
        <v>1</v>
      </c>
      <c r="Q53" s="12"/>
      <c r="R53" s="12"/>
      <c r="S53" s="10"/>
      <c r="T53" s="13">
        <f>IF(COUNT(M53:P53)=0,"",M53*Config!$B$2+N53*Config!$B$3+O53*Config!$B$4+P53)</f>
        <v>1</v>
      </c>
      <c r="U53" s="14" t="str">
        <f>IF(T53="","",IF(T53&gt;=Config!$B$7,"MUST SEE",IF(T53&gt;=Config!$B$8,"ALTO",IF(T53&gt;=Config!$B$9,"VALUTA","SKIP"))))</f>
        <v>SKIP</v>
      </c>
      <c r="V53" s="14" t="str">
        <f>IF(T53="","",IF(T53&gt;=Config!$B$9,"SI","NO"))</f>
        <v>NO</v>
      </c>
      <c r="W53" s="14" t="str">
        <f t="shared" si="1"/>
        <v/>
      </c>
      <c r="X53" s="14">
        <f t="shared" si="2"/>
        <v>11</v>
      </c>
      <c r="Z53" s="14" t="s">
        <v>41</v>
      </c>
      <c r="AA53" s="14" t="s">
        <v>42</v>
      </c>
    </row>
    <row r="54" ht="15.75" customHeight="1">
      <c r="A54" s="9">
        <v>46178.0</v>
      </c>
      <c r="B54" s="10" t="s">
        <v>97</v>
      </c>
      <c r="C54" s="10" t="s">
        <v>47</v>
      </c>
      <c r="D54" s="10" t="s">
        <v>99</v>
      </c>
      <c r="E54" s="15">
        <v>5.0</v>
      </c>
      <c r="F54" s="15">
        <v>2.0</v>
      </c>
      <c r="G54" s="15">
        <v>2.0</v>
      </c>
      <c r="H54" s="15" t="s">
        <v>49</v>
      </c>
      <c r="I54" s="15">
        <v>5.0</v>
      </c>
      <c r="J54" s="15">
        <v>2.0</v>
      </c>
      <c r="K54" s="15">
        <v>3.0</v>
      </c>
      <c r="L54" s="10"/>
      <c r="M54" s="11">
        <f>IF(COUNTA(E54,I54)=0,"",(IF(E54="",0,E54*Config!$B$11)+IF(I54="",0,I54*Config!$B$12))/(IF(E54="",0,Config!$B$11)+IF(I54="",0,Config!$B$12)))</f>
        <v>5</v>
      </c>
      <c r="N54" s="11">
        <f>IF(COUNTA(F54,J54)=0,"",(IF(F54="",0,F54*Config!$B$11)+IF(J54="",0,J54*Config!$B$12))/(IF(F54="",0,Config!$B$11)+IF(J54="",0,Config!$B$12)))</f>
        <v>2</v>
      </c>
      <c r="O54" s="11">
        <f>IF(COUNTA(G54,K54)=0,"",(IF(G54="",0,G54*Config!$B$11)+IF(K54="",0,K54*Config!$B$12))/(IF(G54="",0,Config!$B$11)+IF(K54="",0,Config!$B$12)))</f>
        <v>2.5</v>
      </c>
      <c r="P54" s="11">
        <f>IF(COUNTA(H54,L54)=0,"",((IF(H54="No",Config!$B$11,0)+IF(L54="No",Config!$B$12,0))/(IF(H54&lt;&gt;"",Config!$B$11,0)+IF(L54&lt;&gt;"",Config!$B$12,0)))*Config!$B$5)</f>
        <v>1</v>
      </c>
      <c r="Q54" s="12"/>
      <c r="R54" s="12"/>
      <c r="S54" s="10"/>
      <c r="T54" s="13">
        <f>IF(COUNT(M54:P54)=0,"",M54*Config!$B$2+N54*Config!$B$3+O54*Config!$B$4+P54)</f>
        <v>17.5</v>
      </c>
      <c r="U54" s="14" t="str">
        <f>IF(T54="","",IF(T54&gt;=Config!$B$7,"MUST SEE",IF(T54&gt;=Config!$B$8,"ALTO",IF(T54&gt;=Config!$B$9,"VALUTA","SKIP"))))</f>
        <v>VALUTA</v>
      </c>
      <c r="V54" s="14" t="str">
        <f>IF(T54="","",IF(T54&gt;=Config!$B$9,"SI","NO"))</f>
        <v>SI</v>
      </c>
      <c r="W54" s="14" t="str">
        <f t="shared" si="1"/>
        <v/>
      </c>
      <c r="X54" s="14">
        <f t="shared" si="2"/>
        <v>7</v>
      </c>
      <c r="Z54" s="14" t="s">
        <v>41</v>
      </c>
      <c r="AA54" s="14" t="s">
        <v>42</v>
      </c>
    </row>
    <row r="55" ht="15.75" customHeight="1">
      <c r="A55" s="9">
        <v>46178.0</v>
      </c>
      <c r="B55" s="10" t="s">
        <v>97</v>
      </c>
      <c r="C55" s="10" t="s">
        <v>47</v>
      </c>
      <c r="D55" s="10" t="s">
        <v>100</v>
      </c>
      <c r="E55" s="10"/>
      <c r="F55" s="10"/>
      <c r="G55" s="10"/>
      <c r="H55" s="15" t="s">
        <v>49</v>
      </c>
      <c r="I55" s="10"/>
      <c r="J55" s="10"/>
      <c r="K55" s="10"/>
      <c r="L55" s="10"/>
      <c r="M55" s="11" t="str">
        <f>IF(COUNTA(E55,I55)=0,"",(IF(E55="",0,E55*Config!$B$11)+IF(I55="",0,I55*Config!$B$12))/(IF(E55="",0,Config!$B$11)+IF(I55="",0,Config!$B$12)))</f>
        <v/>
      </c>
      <c r="N55" s="11" t="str">
        <f>IF(COUNTA(F55,J55)=0,"",(IF(F55="",0,F55*Config!$B$11)+IF(J55="",0,J55*Config!$B$12))/(IF(F55="",0,Config!$B$11)+IF(J55="",0,Config!$B$12)))</f>
        <v/>
      </c>
      <c r="O55" s="11" t="str">
        <f>IF(COUNTA(G55,K55)=0,"",(IF(G55="",0,G55*Config!$B$11)+IF(K55="",0,K55*Config!$B$12))/(IF(G55="",0,Config!$B$11)+IF(K55="",0,Config!$B$12)))</f>
        <v/>
      </c>
      <c r="P55" s="11">
        <f>IF(COUNTA(H55,L55)=0,"",((IF(H55="No",Config!$B$11,0)+IF(L55="No",Config!$B$12,0))/(IF(H55&lt;&gt;"",Config!$B$11,0)+IF(L55&lt;&gt;"",Config!$B$12,0)))*Config!$B$5)</f>
        <v>1</v>
      </c>
      <c r="Q55" s="12"/>
      <c r="R55" s="12"/>
      <c r="S55" s="10"/>
      <c r="T55" s="13">
        <f>IF(COUNT(M55:P55)=0,"",M55*Config!$B$2+N55*Config!$B$3+O55*Config!$B$4+P55)</f>
        <v>1</v>
      </c>
      <c r="U55" s="14" t="str">
        <f>IF(T55="","",IF(T55&gt;=Config!$B$7,"MUST SEE",IF(T55&gt;=Config!$B$8,"ALTO",IF(T55&gt;=Config!$B$9,"VALUTA","SKIP"))))</f>
        <v>SKIP</v>
      </c>
      <c r="V55" s="14" t="str">
        <f>IF(T55="","",IF(T55&gt;=Config!$B$9,"SI","NO"))</f>
        <v>NO</v>
      </c>
      <c r="W55" s="14" t="str">
        <f t="shared" si="1"/>
        <v/>
      </c>
      <c r="X55" s="14">
        <f t="shared" si="2"/>
        <v>11</v>
      </c>
      <c r="Z55" s="14" t="s">
        <v>41</v>
      </c>
      <c r="AA55" s="14" t="s">
        <v>42</v>
      </c>
    </row>
    <row r="56" ht="15.75" customHeight="1">
      <c r="A56" s="9">
        <v>46178.0</v>
      </c>
      <c r="B56" s="10" t="s">
        <v>97</v>
      </c>
      <c r="C56" s="10" t="s">
        <v>47</v>
      </c>
      <c r="D56" s="10" t="s">
        <v>101</v>
      </c>
      <c r="E56" s="10"/>
      <c r="F56" s="10"/>
      <c r="G56" s="10"/>
      <c r="H56" s="15" t="s">
        <v>49</v>
      </c>
      <c r="I56" s="10"/>
      <c r="J56" s="10"/>
      <c r="K56" s="10"/>
      <c r="L56" s="10"/>
      <c r="M56" s="11" t="str">
        <f>IF(COUNTA(E56,I56)=0,"",(IF(E56="",0,E56*Config!$B$11)+IF(I56="",0,I56*Config!$B$12))/(IF(E56="",0,Config!$B$11)+IF(I56="",0,Config!$B$12)))</f>
        <v/>
      </c>
      <c r="N56" s="11" t="str">
        <f>IF(COUNTA(F56,J56)=0,"",(IF(F56="",0,F56*Config!$B$11)+IF(J56="",0,J56*Config!$B$12))/(IF(F56="",0,Config!$B$11)+IF(J56="",0,Config!$B$12)))</f>
        <v/>
      </c>
      <c r="O56" s="11" t="str">
        <f>IF(COUNTA(G56,K56)=0,"",(IF(G56="",0,G56*Config!$B$11)+IF(K56="",0,K56*Config!$B$12))/(IF(G56="",0,Config!$B$11)+IF(K56="",0,Config!$B$12)))</f>
        <v/>
      </c>
      <c r="P56" s="11">
        <f>IF(COUNTA(H56,L56)=0,"",((IF(H56="No",Config!$B$11,0)+IF(L56="No",Config!$B$12,0))/(IF(H56&lt;&gt;"",Config!$B$11,0)+IF(L56&lt;&gt;"",Config!$B$12,0)))*Config!$B$5)</f>
        <v>1</v>
      </c>
      <c r="Q56" s="12"/>
      <c r="R56" s="12"/>
      <c r="S56" s="10"/>
      <c r="T56" s="13">
        <f>IF(COUNT(M56:P56)=0,"",M56*Config!$B$2+N56*Config!$B$3+O56*Config!$B$4+P56)</f>
        <v>1</v>
      </c>
      <c r="U56" s="14" t="str">
        <f>IF(T56="","",IF(T56&gt;=Config!$B$7,"MUST SEE",IF(T56&gt;=Config!$B$8,"ALTO",IF(T56&gt;=Config!$B$9,"VALUTA","SKIP"))))</f>
        <v>SKIP</v>
      </c>
      <c r="V56" s="14" t="str">
        <f>IF(T56="","",IF(T56&gt;=Config!$B$9,"SI","NO"))</f>
        <v>NO</v>
      </c>
      <c r="W56" s="14" t="str">
        <f t="shared" si="1"/>
        <v/>
      </c>
      <c r="X56" s="14">
        <f t="shared" si="2"/>
        <v>11</v>
      </c>
      <c r="Z56" s="14" t="s">
        <v>41</v>
      </c>
      <c r="AA56" s="14" t="s">
        <v>42</v>
      </c>
    </row>
    <row r="57" ht="15.75" customHeight="1">
      <c r="A57" s="9">
        <v>46178.0</v>
      </c>
      <c r="B57" s="10" t="s">
        <v>97</v>
      </c>
      <c r="C57" s="10" t="s">
        <v>47</v>
      </c>
      <c r="D57" s="10" t="s">
        <v>102</v>
      </c>
      <c r="E57" s="10"/>
      <c r="F57" s="10"/>
      <c r="G57" s="10"/>
      <c r="H57" s="15" t="s">
        <v>49</v>
      </c>
      <c r="I57" s="10"/>
      <c r="J57" s="10"/>
      <c r="K57" s="10"/>
      <c r="L57" s="10"/>
      <c r="M57" s="11" t="str">
        <f>IF(COUNTA(E57,I57)=0,"",(IF(E57="",0,E57*Config!$B$11)+IF(I57="",0,I57*Config!$B$12))/(IF(E57="",0,Config!$B$11)+IF(I57="",0,Config!$B$12)))</f>
        <v/>
      </c>
      <c r="N57" s="11" t="str">
        <f>IF(COUNTA(F57,J57)=0,"",(IF(F57="",0,F57*Config!$B$11)+IF(J57="",0,J57*Config!$B$12))/(IF(F57="",0,Config!$B$11)+IF(J57="",0,Config!$B$12)))</f>
        <v/>
      </c>
      <c r="O57" s="11" t="str">
        <f>IF(COUNTA(G57,K57)=0,"",(IF(G57="",0,G57*Config!$B$11)+IF(K57="",0,K57*Config!$B$12))/(IF(G57="",0,Config!$B$11)+IF(K57="",0,Config!$B$12)))</f>
        <v/>
      </c>
      <c r="P57" s="11">
        <f>IF(COUNTA(H57,L57)=0,"",((IF(H57="No",Config!$B$11,0)+IF(L57="No",Config!$B$12,0))/(IF(H57&lt;&gt;"",Config!$B$11,0)+IF(L57&lt;&gt;"",Config!$B$12,0)))*Config!$B$5)</f>
        <v>1</v>
      </c>
      <c r="Q57" s="12"/>
      <c r="R57" s="12"/>
      <c r="S57" s="10"/>
      <c r="T57" s="13">
        <f>IF(COUNT(M57:P57)=0,"",M57*Config!$B$2+N57*Config!$B$3+O57*Config!$B$4+P57)</f>
        <v>1</v>
      </c>
      <c r="U57" s="14" t="str">
        <f>IF(T57="","",IF(T57&gt;=Config!$B$7,"MUST SEE",IF(T57&gt;=Config!$B$8,"ALTO",IF(T57&gt;=Config!$B$9,"VALUTA","SKIP"))))</f>
        <v>SKIP</v>
      </c>
      <c r="V57" s="14" t="str">
        <f>IF(T57="","",IF(T57&gt;=Config!$B$9,"SI","NO"))</f>
        <v>NO</v>
      </c>
      <c r="W57" s="14" t="str">
        <f t="shared" si="1"/>
        <v/>
      </c>
      <c r="X57" s="14">
        <f t="shared" si="2"/>
        <v>11</v>
      </c>
      <c r="Z57" s="14" t="s">
        <v>41</v>
      </c>
      <c r="AA57" s="14" t="s">
        <v>42</v>
      </c>
    </row>
    <row r="58" ht="15.75" customHeight="1">
      <c r="A58" s="9">
        <v>46178.0</v>
      </c>
      <c r="B58" s="10" t="s">
        <v>97</v>
      </c>
      <c r="C58" s="10" t="s">
        <v>47</v>
      </c>
      <c r="D58" s="10" t="s">
        <v>103</v>
      </c>
      <c r="E58" s="10"/>
      <c r="F58" s="10"/>
      <c r="G58" s="10"/>
      <c r="H58" s="15" t="s">
        <v>49</v>
      </c>
      <c r="I58" s="10"/>
      <c r="J58" s="10"/>
      <c r="K58" s="10"/>
      <c r="L58" s="10"/>
      <c r="M58" s="11" t="str">
        <f>IF(COUNTA(E58,I58)=0,"",(IF(E58="",0,E58*Config!$B$11)+IF(I58="",0,I58*Config!$B$12))/(IF(E58="",0,Config!$B$11)+IF(I58="",0,Config!$B$12)))</f>
        <v/>
      </c>
      <c r="N58" s="11" t="str">
        <f>IF(COUNTA(F58,J58)=0,"",(IF(F58="",0,F58*Config!$B$11)+IF(J58="",0,J58*Config!$B$12))/(IF(F58="",0,Config!$B$11)+IF(J58="",0,Config!$B$12)))</f>
        <v/>
      </c>
      <c r="O58" s="11" t="str">
        <f>IF(COUNTA(G58,K58)=0,"",(IF(G58="",0,G58*Config!$B$11)+IF(K58="",0,K58*Config!$B$12))/(IF(G58="",0,Config!$B$11)+IF(K58="",0,Config!$B$12)))</f>
        <v/>
      </c>
      <c r="P58" s="11">
        <f>IF(COUNTA(H58,L58)=0,"",((IF(H58="No",Config!$B$11,0)+IF(L58="No",Config!$B$12,0))/(IF(H58&lt;&gt;"",Config!$B$11,0)+IF(L58&lt;&gt;"",Config!$B$12,0)))*Config!$B$5)</f>
        <v>1</v>
      </c>
      <c r="Q58" s="12"/>
      <c r="R58" s="12"/>
      <c r="S58" s="10"/>
      <c r="T58" s="13">
        <f>IF(COUNT(M58:P58)=0,"",M58*Config!$B$2+N58*Config!$B$3+O58*Config!$B$4+P58)</f>
        <v>1</v>
      </c>
      <c r="U58" s="14" t="str">
        <f>IF(T58="","",IF(T58&gt;=Config!$B$7,"MUST SEE",IF(T58&gt;=Config!$B$8,"ALTO",IF(T58&gt;=Config!$B$9,"VALUTA","SKIP"))))</f>
        <v>SKIP</v>
      </c>
      <c r="V58" s="14" t="str">
        <f>IF(T58="","",IF(T58&gt;=Config!$B$9,"SI","NO"))</f>
        <v>NO</v>
      </c>
      <c r="W58" s="14" t="str">
        <f t="shared" si="1"/>
        <v/>
      </c>
      <c r="X58" s="14">
        <f t="shared" si="2"/>
        <v>11</v>
      </c>
      <c r="Z58" s="14" t="s">
        <v>41</v>
      </c>
      <c r="AA58" s="14" t="s">
        <v>42</v>
      </c>
    </row>
    <row r="59" ht="15.75" customHeight="1">
      <c r="A59" s="9">
        <v>46178.0</v>
      </c>
      <c r="B59" s="10" t="s">
        <v>97</v>
      </c>
      <c r="C59" s="10" t="s">
        <v>47</v>
      </c>
      <c r="D59" s="10" t="s">
        <v>104</v>
      </c>
      <c r="E59" s="10"/>
      <c r="F59" s="10"/>
      <c r="G59" s="10"/>
      <c r="H59" s="15" t="s">
        <v>49</v>
      </c>
      <c r="I59" s="10"/>
      <c r="J59" s="10"/>
      <c r="K59" s="10"/>
      <c r="L59" s="10"/>
      <c r="M59" s="11" t="str">
        <f>IF(COUNTA(E59,I59)=0,"",(IF(E59="",0,E59*Config!$B$11)+IF(I59="",0,I59*Config!$B$12))/(IF(E59="",0,Config!$B$11)+IF(I59="",0,Config!$B$12)))</f>
        <v/>
      </c>
      <c r="N59" s="11" t="str">
        <f>IF(COUNTA(F59,J59)=0,"",(IF(F59="",0,F59*Config!$B$11)+IF(J59="",0,J59*Config!$B$12))/(IF(F59="",0,Config!$B$11)+IF(J59="",0,Config!$B$12)))</f>
        <v/>
      </c>
      <c r="O59" s="11" t="str">
        <f>IF(COUNTA(G59,K59)=0,"",(IF(G59="",0,G59*Config!$B$11)+IF(K59="",0,K59*Config!$B$12))/(IF(G59="",0,Config!$B$11)+IF(K59="",0,Config!$B$12)))</f>
        <v/>
      </c>
      <c r="P59" s="11">
        <f>IF(COUNTA(H59,L59)=0,"",((IF(H59="No",Config!$B$11,0)+IF(L59="No",Config!$B$12,0))/(IF(H59&lt;&gt;"",Config!$B$11,0)+IF(L59&lt;&gt;"",Config!$B$12,0)))*Config!$B$5)</f>
        <v>1</v>
      </c>
      <c r="Q59" s="12"/>
      <c r="R59" s="12"/>
      <c r="S59" s="10"/>
      <c r="T59" s="13">
        <f>IF(COUNT(M59:P59)=0,"",M59*Config!$B$2+N59*Config!$B$3+O59*Config!$B$4+P59)</f>
        <v>1</v>
      </c>
      <c r="U59" s="14" t="str">
        <f>IF(T59="","",IF(T59&gt;=Config!$B$7,"MUST SEE",IF(T59&gt;=Config!$B$8,"ALTO",IF(T59&gt;=Config!$B$9,"VALUTA","SKIP"))))</f>
        <v>SKIP</v>
      </c>
      <c r="V59" s="14" t="str">
        <f>IF(T59="","",IF(T59&gt;=Config!$B$9,"SI","NO"))</f>
        <v>NO</v>
      </c>
      <c r="W59" s="14" t="str">
        <f t="shared" si="1"/>
        <v/>
      </c>
      <c r="X59" s="14">
        <f t="shared" si="2"/>
        <v>11</v>
      </c>
      <c r="Z59" s="14" t="s">
        <v>41</v>
      </c>
      <c r="AA59" s="14" t="s">
        <v>42</v>
      </c>
    </row>
    <row r="60" ht="15.75" customHeight="1">
      <c r="A60" s="9">
        <v>46178.0</v>
      </c>
      <c r="B60" s="10" t="s">
        <v>97</v>
      </c>
      <c r="C60" s="10" t="s">
        <v>47</v>
      </c>
      <c r="D60" s="10" t="s">
        <v>105</v>
      </c>
      <c r="E60" s="15">
        <v>1.0</v>
      </c>
      <c r="F60" s="15">
        <v>1.0</v>
      </c>
      <c r="G60" s="15">
        <v>1.0</v>
      </c>
      <c r="H60" s="15" t="s">
        <v>49</v>
      </c>
      <c r="I60" s="15">
        <v>2.0</v>
      </c>
      <c r="J60" s="15">
        <v>1.0</v>
      </c>
      <c r="K60" s="15">
        <v>2.0</v>
      </c>
      <c r="L60" s="15" t="s">
        <v>49</v>
      </c>
      <c r="M60" s="11">
        <f>IF(COUNTA(E60,I60)=0,"",(IF(E60="",0,E60*Config!$B$11)+IF(I60="",0,I60*Config!$B$12))/(IF(E60="",0,Config!$B$11)+IF(I60="",0,Config!$B$12)))</f>
        <v>1.5</v>
      </c>
      <c r="N60" s="11">
        <f>IF(COUNTA(F60,J60)=0,"",(IF(F60="",0,F60*Config!$B$11)+IF(J60="",0,J60*Config!$B$12))/(IF(F60="",0,Config!$B$11)+IF(J60="",0,Config!$B$12)))</f>
        <v>1</v>
      </c>
      <c r="O60" s="11">
        <f>IF(COUNTA(G60,K60)=0,"",(IF(G60="",0,G60*Config!$B$11)+IF(K60="",0,K60*Config!$B$12))/(IF(G60="",0,Config!$B$11)+IF(K60="",0,Config!$B$12)))</f>
        <v>1.5</v>
      </c>
      <c r="P60" s="11">
        <f>IF(COUNTA(H60,L60)=0,"",((IF(H60="No",Config!$B$11,0)+IF(L60="No",Config!$B$12,0))/(IF(H60&lt;&gt;"",Config!$B$11,0)+IF(L60&lt;&gt;"",Config!$B$12,0)))*Config!$B$5)</f>
        <v>1</v>
      </c>
      <c r="Q60" s="12"/>
      <c r="R60" s="12"/>
      <c r="S60" s="10"/>
      <c r="T60" s="13">
        <f>IF(COUNT(M60:P60)=0,"",M60*Config!$B$2+N60*Config!$B$3+O60*Config!$B$4+P60)</f>
        <v>7.5</v>
      </c>
      <c r="U60" s="14" t="str">
        <f>IF(T60="","",IF(T60&gt;=Config!$B$7,"MUST SEE",IF(T60&gt;=Config!$B$8,"ALTO",IF(T60&gt;=Config!$B$9,"VALUTA","SKIP"))))</f>
        <v>SKIP</v>
      </c>
      <c r="V60" s="14" t="str">
        <f>IF(T60="","",IF(T60&gt;=Config!$B$9,"SI","NO"))</f>
        <v>NO</v>
      </c>
      <c r="W60" s="14" t="str">
        <f t="shared" si="1"/>
        <v/>
      </c>
      <c r="X60" s="14">
        <f t="shared" si="2"/>
        <v>9</v>
      </c>
      <c r="Z60" s="14" t="s">
        <v>41</v>
      </c>
      <c r="AA60" s="14" t="s">
        <v>42</v>
      </c>
    </row>
    <row r="61" ht="15.75" customHeight="1">
      <c r="A61" s="9">
        <v>46178.0</v>
      </c>
      <c r="B61" s="10" t="s">
        <v>97</v>
      </c>
      <c r="C61" s="10" t="s">
        <v>47</v>
      </c>
      <c r="D61" s="10" t="s">
        <v>106</v>
      </c>
      <c r="E61" s="10"/>
      <c r="F61" s="10"/>
      <c r="G61" s="10"/>
      <c r="H61" s="15" t="s">
        <v>49</v>
      </c>
      <c r="I61" s="10"/>
      <c r="J61" s="10"/>
      <c r="K61" s="10"/>
      <c r="L61" s="10"/>
      <c r="M61" s="11" t="str">
        <f>IF(COUNTA(E61,I61)=0,"",(IF(E61="",0,E61*Config!$B$11)+IF(I61="",0,I61*Config!$B$12))/(IF(E61="",0,Config!$B$11)+IF(I61="",0,Config!$B$12)))</f>
        <v/>
      </c>
      <c r="N61" s="11" t="str">
        <f>IF(COUNTA(F61,J61)=0,"",(IF(F61="",0,F61*Config!$B$11)+IF(J61="",0,J61*Config!$B$12))/(IF(F61="",0,Config!$B$11)+IF(J61="",0,Config!$B$12)))</f>
        <v/>
      </c>
      <c r="O61" s="11" t="str">
        <f>IF(COUNTA(G61,K61)=0,"",(IF(G61="",0,G61*Config!$B$11)+IF(K61="",0,K61*Config!$B$12))/(IF(G61="",0,Config!$B$11)+IF(K61="",0,Config!$B$12)))</f>
        <v/>
      </c>
      <c r="P61" s="11">
        <f>IF(COUNTA(H61,L61)=0,"",((IF(H61="No",Config!$B$11,0)+IF(L61="No",Config!$B$12,0))/(IF(H61&lt;&gt;"",Config!$B$11,0)+IF(L61&lt;&gt;"",Config!$B$12,0)))*Config!$B$5)</f>
        <v>1</v>
      </c>
      <c r="Q61" s="12"/>
      <c r="R61" s="12"/>
      <c r="S61" s="10"/>
      <c r="T61" s="13">
        <f>IF(COUNT(M61:P61)=0,"",M61*Config!$B$2+N61*Config!$B$3+O61*Config!$B$4+P61)</f>
        <v>1</v>
      </c>
      <c r="U61" s="14" t="str">
        <f>IF(T61="","",IF(T61&gt;=Config!$B$7,"MUST SEE",IF(T61&gt;=Config!$B$8,"ALTO",IF(T61&gt;=Config!$B$9,"VALUTA","SKIP"))))</f>
        <v>SKIP</v>
      </c>
      <c r="V61" s="14" t="str">
        <f>IF(T61="","",IF(T61&gt;=Config!$B$9,"SI","NO"))</f>
        <v>NO</v>
      </c>
      <c r="W61" s="14" t="str">
        <f t="shared" si="1"/>
        <v/>
      </c>
      <c r="X61" s="14">
        <f t="shared" si="2"/>
        <v>11</v>
      </c>
      <c r="Z61" s="14" t="s">
        <v>41</v>
      </c>
      <c r="AA61" s="14" t="s">
        <v>42</v>
      </c>
    </row>
    <row r="62" ht="15.75" customHeight="1">
      <c r="A62" s="9">
        <v>46178.0</v>
      </c>
      <c r="B62" s="10" t="s">
        <v>97</v>
      </c>
      <c r="C62" s="10" t="s">
        <v>47</v>
      </c>
      <c r="D62" s="10" t="s">
        <v>107</v>
      </c>
      <c r="E62" s="10"/>
      <c r="F62" s="10"/>
      <c r="G62" s="10"/>
      <c r="H62" s="15" t="s">
        <v>49</v>
      </c>
      <c r="I62" s="10"/>
      <c r="J62" s="10"/>
      <c r="K62" s="10"/>
      <c r="L62" s="10"/>
      <c r="M62" s="11" t="str">
        <f>IF(COUNTA(E62,I62)=0,"",(IF(E62="",0,E62*Config!$B$11)+IF(I62="",0,I62*Config!$B$12))/(IF(E62="",0,Config!$B$11)+IF(I62="",0,Config!$B$12)))</f>
        <v/>
      </c>
      <c r="N62" s="11" t="str">
        <f>IF(COUNTA(F62,J62)=0,"",(IF(F62="",0,F62*Config!$B$11)+IF(J62="",0,J62*Config!$B$12))/(IF(F62="",0,Config!$B$11)+IF(J62="",0,Config!$B$12)))</f>
        <v/>
      </c>
      <c r="O62" s="11" t="str">
        <f>IF(COUNTA(G62,K62)=0,"",(IF(G62="",0,G62*Config!$B$11)+IF(K62="",0,K62*Config!$B$12))/(IF(G62="",0,Config!$B$11)+IF(K62="",0,Config!$B$12)))</f>
        <v/>
      </c>
      <c r="P62" s="11">
        <f>IF(COUNTA(H62,L62)=0,"",((IF(H62="No",Config!$B$11,0)+IF(L62="No",Config!$B$12,0))/(IF(H62&lt;&gt;"",Config!$B$11,0)+IF(L62&lt;&gt;"",Config!$B$12,0)))*Config!$B$5)</f>
        <v>1</v>
      </c>
      <c r="Q62" s="12"/>
      <c r="R62" s="12"/>
      <c r="S62" s="10"/>
      <c r="T62" s="13">
        <f>IF(COUNT(M62:P62)=0,"",M62*Config!$B$2+N62*Config!$B$3+O62*Config!$B$4+P62)</f>
        <v>1</v>
      </c>
      <c r="U62" s="14" t="str">
        <f>IF(T62="","",IF(T62&gt;=Config!$B$7,"MUST SEE",IF(T62&gt;=Config!$B$8,"ALTO",IF(T62&gt;=Config!$B$9,"VALUTA","SKIP"))))</f>
        <v>SKIP</v>
      </c>
      <c r="V62" s="14" t="str">
        <f>IF(T62="","",IF(T62&gt;=Config!$B$9,"SI","NO"))</f>
        <v>NO</v>
      </c>
      <c r="W62" s="14" t="str">
        <f t="shared" si="1"/>
        <v/>
      </c>
      <c r="X62" s="14">
        <f t="shared" si="2"/>
        <v>11</v>
      </c>
      <c r="Z62" s="14" t="s">
        <v>41</v>
      </c>
      <c r="AA62" s="14" t="s">
        <v>42</v>
      </c>
    </row>
    <row r="63" ht="15.75" customHeight="1">
      <c r="A63" s="9">
        <v>46178.0</v>
      </c>
      <c r="B63" s="10" t="s">
        <v>97</v>
      </c>
      <c r="C63" s="10" t="s">
        <v>47</v>
      </c>
      <c r="D63" s="10" t="s">
        <v>108</v>
      </c>
      <c r="E63" s="10"/>
      <c r="F63" s="10"/>
      <c r="G63" s="10"/>
      <c r="H63" s="15" t="s">
        <v>49</v>
      </c>
      <c r="I63" s="10"/>
      <c r="J63" s="10"/>
      <c r="K63" s="10"/>
      <c r="L63" s="10"/>
      <c r="M63" s="11" t="str">
        <f>IF(COUNTA(E63,I63)=0,"",(IF(E63="",0,E63*Config!$B$11)+IF(I63="",0,I63*Config!$B$12))/(IF(E63="",0,Config!$B$11)+IF(I63="",0,Config!$B$12)))</f>
        <v/>
      </c>
      <c r="N63" s="11" t="str">
        <f>IF(COUNTA(F63,J63)=0,"",(IF(F63="",0,F63*Config!$B$11)+IF(J63="",0,J63*Config!$B$12))/(IF(F63="",0,Config!$B$11)+IF(J63="",0,Config!$B$12)))</f>
        <v/>
      </c>
      <c r="O63" s="11" t="str">
        <f>IF(COUNTA(G63,K63)=0,"",(IF(G63="",0,G63*Config!$B$11)+IF(K63="",0,K63*Config!$B$12))/(IF(G63="",0,Config!$B$11)+IF(K63="",0,Config!$B$12)))</f>
        <v/>
      </c>
      <c r="P63" s="11">
        <f>IF(COUNTA(H63,L63)=0,"",((IF(H63="No",Config!$B$11,0)+IF(L63="No",Config!$B$12,0))/(IF(H63&lt;&gt;"",Config!$B$11,0)+IF(L63&lt;&gt;"",Config!$B$12,0)))*Config!$B$5)</f>
        <v>1</v>
      </c>
      <c r="Q63" s="12"/>
      <c r="R63" s="12"/>
      <c r="S63" s="10"/>
      <c r="T63" s="13">
        <f>IF(COUNT(M63:P63)=0,"",M63*Config!$B$2+N63*Config!$B$3+O63*Config!$B$4+P63)</f>
        <v>1</v>
      </c>
      <c r="U63" s="14" t="str">
        <f>IF(T63="","",IF(T63&gt;=Config!$B$7,"MUST SEE",IF(T63&gt;=Config!$B$8,"ALTO",IF(T63&gt;=Config!$B$9,"VALUTA","SKIP"))))</f>
        <v>SKIP</v>
      </c>
      <c r="V63" s="14" t="str">
        <f>IF(T63="","",IF(T63&gt;=Config!$B$9,"SI","NO"))</f>
        <v>NO</v>
      </c>
      <c r="W63" s="14" t="str">
        <f t="shared" si="1"/>
        <v/>
      </c>
      <c r="X63" s="14">
        <f t="shared" si="2"/>
        <v>11</v>
      </c>
      <c r="Z63" s="14" t="s">
        <v>41</v>
      </c>
      <c r="AA63" s="14" t="s">
        <v>42</v>
      </c>
    </row>
    <row r="64" ht="15.75" customHeight="1">
      <c r="A64" s="9">
        <v>46178.0</v>
      </c>
      <c r="B64" s="10" t="s">
        <v>97</v>
      </c>
      <c r="C64" s="10" t="s">
        <v>47</v>
      </c>
      <c r="D64" s="10" t="s">
        <v>109</v>
      </c>
      <c r="E64" s="10"/>
      <c r="F64" s="10"/>
      <c r="G64" s="10"/>
      <c r="H64" s="15" t="s">
        <v>49</v>
      </c>
      <c r="I64" s="10"/>
      <c r="J64" s="10"/>
      <c r="K64" s="10"/>
      <c r="L64" s="10"/>
      <c r="M64" s="11" t="str">
        <f>IF(COUNTA(E64,I64)=0,"",(IF(E64="",0,E64*Config!$B$11)+IF(I64="",0,I64*Config!$B$12))/(IF(E64="",0,Config!$B$11)+IF(I64="",0,Config!$B$12)))</f>
        <v/>
      </c>
      <c r="N64" s="11" t="str">
        <f>IF(COUNTA(F64,J64)=0,"",(IF(F64="",0,F64*Config!$B$11)+IF(J64="",0,J64*Config!$B$12))/(IF(F64="",0,Config!$B$11)+IF(J64="",0,Config!$B$12)))</f>
        <v/>
      </c>
      <c r="O64" s="11" t="str">
        <f>IF(COUNTA(G64,K64)=0,"",(IF(G64="",0,G64*Config!$B$11)+IF(K64="",0,K64*Config!$B$12))/(IF(G64="",0,Config!$B$11)+IF(K64="",0,Config!$B$12)))</f>
        <v/>
      </c>
      <c r="P64" s="11">
        <f>IF(COUNTA(H64,L64)=0,"",((IF(H64="No",Config!$B$11,0)+IF(L64="No",Config!$B$12,0))/(IF(H64&lt;&gt;"",Config!$B$11,0)+IF(L64&lt;&gt;"",Config!$B$12,0)))*Config!$B$5)</f>
        <v>1</v>
      </c>
      <c r="Q64" s="12"/>
      <c r="R64" s="12"/>
      <c r="S64" s="10"/>
      <c r="T64" s="13">
        <f>IF(COUNT(M64:P64)=0,"",M64*Config!$B$2+N64*Config!$B$3+O64*Config!$B$4+P64)</f>
        <v>1</v>
      </c>
      <c r="U64" s="14" t="str">
        <f>IF(T64="","",IF(T64&gt;=Config!$B$7,"MUST SEE",IF(T64&gt;=Config!$B$8,"ALTO",IF(T64&gt;=Config!$B$9,"VALUTA","SKIP"))))</f>
        <v>SKIP</v>
      </c>
      <c r="V64" s="14" t="str">
        <f>IF(T64="","",IF(T64&gt;=Config!$B$9,"SI","NO"))</f>
        <v>NO</v>
      </c>
      <c r="W64" s="14" t="str">
        <f t="shared" si="1"/>
        <v/>
      </c>
      <c r="X64" s="14">
        <f t="shared" si="2"/>
        <v>11</v>
      </c>
      <c r="Z64" s="14" t="s">
        <v>41</v>
      </c>
      <c r="AA64" s="14" t="s">
        <v>42</v>
      </c>
    </row>
    <row r="65" ht="15.75" customHeight="1">
      <c r="A65" s="9">
        <v>46178.0</v>
      </c>
      <c r="B65" s="10" t="s">
        <v>97</v>
      </c>
      <c r="C65" s="10" t="s">
        <v>47</v>
      </c>
      <c r="D65" s="10" t="s">
        <v>110</v>
      </c>
      <c r="E65" s="10"/>
      <c r="F65" s="10"/>
      <c r="G65" s="10"/>
      <c r="H65" s="15" t="s">
        <v>49</v>
      </c>
      <c r="I65" s="10"/>
      <c r="J65" s="10"/>
      <c r="K65" s="10"/>
      <c r="L65" s="10"/>
      <c r="M65" s="11" t="str">
        <f>IF(COUNTA(E65,I65)=0,"",(IF(E65="",0,E65*Config!$B$11)+IF(I65="",0,I65*Config!$B$12))/(IF(E65="",0,Config!$B$11)+IF(I65="",0,Config!$B$12)))</f>
        <v/>
      </c>
      <c r="N65" s="11" t="str">
        <f>IF(COUNTA(F65,J65)=0,"",(IF(F65="",0,F65*Config!$B$11)+IF(J65="",0,J65*Config!$B$12))/(IF(F65="",0,Config!$B$11)+IF(J65="",0,Config!$B$12)))</f>
        <v/>
      </c>
      <c r="O65" s="11" t="str">
        <f>IF(COUNTA(G65,K65)=0,"",(IF(G65="",0,G65*Config!$B$11)+IF(K65="",0,K65*Config!$B$12))/(IF(G65="",0,Config!$B$11)+IF(K65="",0,Config!$B$12)))</f>
        <v/>
      </c>
      <c r="P65" s="11">
        <f>IF(COUNTA(H65,L65)=0,"",((IF(H65="No",Config!$B$11,0)+IF(L65="No",Config!$B$12,0))/(IF(H65&lt;&gt;"",Config!$B$11,0)+IF(L65&lt;&gt;"",Config!$B$12,0)))*Config!$B$5)</f>
        <v>1</v>
      </c>
      <c r="Q65" s="12"/>
      <c r="R65" s="12"/>
      <c r="S65" s="10"/>
      <c r="T65" s="13">
        <f>IF(COUNT(M65:P65)=0,"",M65*Config!$B$2+N65*Config!$B$3+O65*Config!$B$4+P65)</f>
        <v>1</v>
      </c>
      <c r="U65" s="14" t="str">
        <f>IF(T65="","",IF(T65&gt;=Config!$B$7,"MUST SEE",IF(T65&gt;=Config!$B$8,"ALTO",IF(T65&gt;=Config!$B$9,"VALUTA","SKIP"))))</f>
        <v>SKIP</v>
      </c>
      <c r="V65" s="14" t="str">
        <f>IF(T65="","",IF(T65&gt;=Config!$B$9,"SI","NO"))</f>
        <v>NO</v>
      </c>
      <c r="W65" s="14" t="str">
        <f t="shared" si="1"/>
        <v/>
      </c>
      <c r="X65" s="14">
        <f t="shared" si="2"/>
        <v>11</v>
      </c>
      <c r="Z65" s="14" t="s">
        <v>41</v>
      </c>
      <c r="AA65" s="14" t="s">
        <v>42</v>
      </c>
    </row>
    <row r="66" ht="15.75" customHeight="1">
      <c r="A66" s="9">
        <v>46178.0</v>
      </c>
      <c r="B66" s="10" t="s">
        <v>97</v>
      </c>
      <c r="C66" s="10" t="s">
        <v>47</v>
      </c>
      <c r="D66" s="10" t="s">
        <v>111</v>
      </c>
      <c r="E66" s="10"/>
      <c r="F66" s="10"/>
      <c r="G66" s="10"/>
      <c r="H66" s="15" t="s">
        <v>49</v>
      </c>
      <c r="I66" s="10"/>
      <c r="J66" s="10"/>
      <c r="K66" s="10"/>
      <c r="L66" s="10"/>
      <c r="M66" s="11" t="str">
        <f>IF(COUNTA(E66,I66)=0,"",(IF(E66="",0,E66*Config!$B$11)+IF(I66="",0,I66*Config!$B$12))/(IF(E66="",0,Config!$B$11)+IF(I66="",0,Config!$B$12)))</f>
        <v/>
      </c>
      <c r="N66" s="11" t="str">
        <f>IF(COUNTA(F66,J66)=0,"",(IF(F66="",0,F66*Config!$B$11)+IF(J66="",0,J66*Config!$B$12))/(IF(F66="",0,Config!$B$11)+IF(J66="",0,Config!$B$12)))</f>
        <v/>
      </c>
      <c r="O66" s="11" t="str">
        <f>IF(COUNTA(G66,K66)=0,"",(IF(G66="",0,G66*Config!$B$11)+IF(K66="",0,K66*Config!$B$12))/(IF(G66="",0,Config!$B$11)+IF(K66="",0,Config!$B$12)))</f>
        <v/>
      </c>
      <c r="P66" s="11">
        <f>IF(COUNTA(H66,L66)=0,"",((IF(H66="No",Config!$B$11,0)+IF(L66="No",Config!$B$12,0))/(IF(H66&lt;&gt;"",Config!$B$11,0)+IF(L66&lt;&gt;"",Config!$B$12,0)))*Config!$B$5)</f>
        <v>1</v>
      </c>
      <c r="Q66" s="12"/>
      <c r="R66" s="12"/>
      <c r="S66" s="10"/>
      <c r="T66" s="13">
        <f>IF(COUNT(M66:P66)=0,"",M66*Config!$B$2+N66*Config!$B$3+O66*Config!$B$4+P66)</f>
        <v>1</v>
      </c>
      <c r="U66" s="14" t="str">
        <f>IF(T66="","",IF(T66&gt;=Config!$B$7,"MUST SEE",IF(T66&gt;=Config!$B$8,"ALTO",IF(T66&gt;=Config!$B$9,"VALUTA","SKIP"))))</f>
        <v>SKIP</v>
      </c>
      <c r="V66" s="14" t="str">
        <f>IF(T66="","",IF(T66&gt;=Config!$B$9,"SI","NO"))</f>
        <v>NO</v>
      </c>
      <c r="W66" s="14" t="str">
        <f t="shared" si="1"/>
        <v/>
      </c>
      <c r="X66" s="14">
        <f t="shared" si="2"/>
        <v>11</v>
      </c>
      <c r="Z66" s="14" t="s">
        <v>41</v>
      </c>
      <c r="AA66" s="14" t="s">
        <v>42</v>
      </c>
    </row>
    <row r="67" ht="15.75" customHeight="1">
      <c r="A67" s="9">
        <v>46178.0</v>
      </c>
      <c r="B67" s="10" t="s">
        <v>97</v>
      </c>
      <c r="C67" s="10" t="s">
        <v>47</v>
      </c>
      <c r="D67" s="10" t="s">
        <v>112</v>
      </c>
      <c r="E67" s="10"/>
      <c r="F67" s="10"/>
      <c r="G67" s="10"/>
      <c r="H67" s="15" t="s">
        <v>49</v>
      </c>
      <c r="I67" s="10"/>
      <c r="J67" s="10"/>
      <c r="K67" s="10"/>
      <c r="L67" s="10"/>
      <c r="M67" s="11" t="str">
        <f>IF(COUNTA(E67,I67)=0,"",(IF(E67="",0,E67*Config!$B$11)+IF(I67="",0,I67*Config!$B$12))/(IF(E67="",0,Config!$B$11)+IF(I67="",0,Config!$B$12)))</f>
        <v/>
      </c>
      <c r="N67" s="11" t="str">
        <f>IF(COUNTA(F67,J67)=0,"",(IF(F67="",0,F67*Config!$B$11)+IF(J67="",0,J67*Config!$B$12))/(IF(F67="",0,Config!$B$11)+IF(J67="",0,Config!$B$12)))</f>
        <v/>
      </c>
      <c r="O67" s="11" t="str">
        <f>IF(COUNTA(G67,K67)=0,"",(IF(G67="",0,G67*Config!$B$11)+IF(K67="",0,K67*Config!$B$12))/(IF(G67="",0,Config!$B$11)+IF(K67="",0,Config!$B$12)))</f>
        <v/>
      </c>
      <c r="P67" s="11">
        <f>IF(COUNTA(H67,L67)=0,"",((IF(H67="No",Config!$B$11,0)+IF(L67="No",Config!$B$12,0))/(IF(H67&lt;&gt;"",Config!$B$11,0)+IF(L67&lt;&gt;"",Config!$B$12,0)))*Config!$B$5)</f>
        <v>1</v>
      </c>
      <c r="Q67" s="12"/>
      <c r="R67" s="12"/>
      <c r="S67" s="10"/>
      <c r="T67" s="13">
        <f>IF(COUNT(M67:P67)=0,"",M67*Config!$B$2+N67*Config!$B$3+O67*Config!$B$4+P67)</f>
        <v>1</v>
      </c>
      <c r="U67" s="14" t="str">
        <f>IF(T67="","",IF(T67&gt;=Config!$B$7,"MUST SEE",IF(T67&gt;=Config!$B$8,"ALTO",IF(T67&gt;=Config!$B$9,"VALUTA","SKIP"))))</f>
        <v>SKIP</v>
      </c>
      <c r="V67" s="14" t="str">
        <f>IF(T67="","",IF(T67&gt;=Config!$B$9,"SI","NO"))</f>
        <v>NO</v>
      </c>
      <c r="W67" s="14" t="str">
        <f t="shared" si="1"/>
        <v/>
      </c>
      <c r="X67" s="14">
        <f t="shared" si="2"/>
        <v>11</v>
      </c>
      <c r="Z67" s="14" t="s">
        <v>41</v>
      </c>
      <c r="AA67" s="14" t="s">
        <v>42</v>
      </c>
    </row>
    <row r="68" ht="15.75" customHeight="1">
      <c r="A68" s="9">
        <v>46178.0</v>
      </c>
      <c r="B68" s="10" t="s">
        <v>97</v>
      </c>
      <c r="C68" s="10" t="s">
        <v>47</v>
      </c>
      <c r="D68" s="10" t="s">
        <v>113</v>
      </c>
      <c r="E68" s="10"/>
      <c r="F68" s="10"/>
      <c r="G68" s="10"/>
      <c r="H68" s="15" t="s">
        <v>49</v>
      </c>
      <c r="I68" s="10"/>
      <c r="J68" s="10"/>
      <c r="K68" s="10"/>
      <c r="L68" s="10"/>
      <c r="M68" s="11" t="str">
        <f>IF(COUNTA(E68,I68)=0,"",(IF(E68="",0,E68*Config!$B$11)+IF(I68="",0,I68*Config!$B$12))/(IF(E68="",0,Config!$B$11)+IF(I68="",0,Config!$B$12)))</f>
        <v/>
      </c>
      <c r="N68" s="11" t="str">
        <f>IF(COUNTA(F68,J68)=0,"",(IF(F68="",0,F68*Config!$B$11)+IF(J68="",0,J68*Config!$B$12))/(IF(F68="",0,Config!$B$11)+IF(J68="",0,Config!$B$12)))</f>
        <v/>
      </c>
      <c r="O68" s="11" t="str">
        <f>IF(COUNTA(G68,K68)=0,"",(IF(G68="",0,G68*Config!$B$11)+IF(K68="",0,K68*Config!$B$12))/(IF(G68="",0,Config!$B$11)+IF(K68="",0,Config!$B$12)))</f>
        <v/>
      </c>
      <c r="P68" s="11">
        <f>IF(COUNTA(H68,L68)=0,"",((IF(H68="No",Config!$B$11,0)+IF(L68="No",Config!$B$12,0))/(IF(H68&lt;&gt;"",Config!$B$11,0)+IF(L68&lt;&gt;"",Config!$B$12,0)))*Config!$B$5)</f>
        <v>1</v>
      </c>
      <c r="Q68" s="12"/>
      <c r="R68" s="12"/>
      <c r="S68" s="10"/>
      <c r="T68" s="13">
        <f>IF(COUNT(M68:P68)=0,"",M68*Config!$B$2+N68*Config!$B$3+O68*Config!$B$4+P68)</f>
        <v>1</v>
      </c>
      <c r="U68" s="14" t="str">
        <f>IF(T68="","",IF(T68&gt;=Config!$B$7,"MUST SEE",IF(T68&gt;=Config!$B$8,"ALTO",IF(T68&gt;=Config!$B$9,"VALUTA","SKIP"))))</f>
        <v>SKIP</v>
      </c>
      <c r="V68" s="14" t="str">
        <f>IF(T68="","",IF(T68&gt;=Config!$B$9,"SI","NO"))</f>
        <v>NO</v>
      </c>
      <c r="W68" s="14" t="str">
        <f t="shared" si="1"/>
        <v/>
      </c>
      <c r="X68" s="14">
        <f t="shared" si="2"/>
        <v>11</v>
      </c>
      <c r="Z68" s="14" t="s">
        <v>41</v>
      </c>
      <c r="AA68" s="14" t="s">
        <v>42</v>
      </c>
    </row>
    <row r="69" ht="15.75" customHeight="1">
      <c r="A69" s="9">
        <v>46178.0</v>
      </c>
      <c r="B69" s="10" t="s">
        <v>97</v>
      </c>
      <c r="C69" s="10" t="s">
        <v>47</v>
      </c>
      <c r="D69" s="10" t="s">
        <v>114</v>
      </c>
      <c r="E69" s="10"/>
      <c r="F69" s="10"/>
      <c r="G69" s="10"/>
      <c r="H69" s="15" t="s">
        <v>49</v>
      </c>
      <c r="I69" s="10"/>
      <c r="J69" s="10"/>
      <c r="K69" s="10"/>
      <c r="L69" s="10"/>
      <c r="M69" s="11" t="str">
        <f>IF(COUNTA(E69,I69)=0,"",(IF(E69="",0,E69*Config!$B$11)+IF(I69="",0,I69*Config!$B$12))/(IF(E69="",0,Config!$B$11)+IF(I69="",0,Config!$B$12)))</f>
        <v/>
      </c>
      <c r="N69" s="11" t="str">
        <f>IF(COUNTA(F69,J69)=0,"",(IF(F69="",0,F69*Config!$B$11)+IF(J69="",0,J69*Config!$B$12))/(IF(F69="",0,Config!$B$11)+IF(J69="",0,Config!$B$12)))</f>
        <v/>
      </c>
      <c r="O69" s="11" t="str">
        <f>IF(COUNTA(G69,K69)=0,"",(IF(G69="",0,G69*Config!$B$11)+IF(K69="",0,K69*Config!$B$12))/(IF(G69="",0,Config!$B$11)+IF(K69="",0,Config!$B$12)))</f>
        <v/>
      </c>
      <c r="P69" s="11">
        <f>IF(COUNTA(H69,L69)=0,"",((IF(H69="No",Config!$B$11,0)+IF(L69="No",Config!$B$12,0))/(IF(H69&lt;&gt;"",Config!$B$11,0)+IF(L69&lt;&gt;"",Config!$B$12,0)))*Config!$B$5)</f>
        <v>1</v>
      </c>
      <c r="Q69" s="12"/>
      <c r="R69" s="12"/>
      <c r="S69" s="10"/>
      <c r="T69" s="13">
        <f>IF(COUNT(M69:P69)=0,"",M69*Config!$B$2+N69*Config!$B$3+O69*Config!$B$4+P69)</f>
        <v>1</v>
      </c>
      <c r="U69" s="14" t="str">
        <f>IF(T69="","",IF(T69&gt;=Config!$B$7,"MUST SEE",IF(T69&gt;=Config!$B$8,"ALTO",IF(T69&gt;=Config!$B$9,"VALUTA","SKIP"))))</f>
        <v>SKIP</v>
      </c>
      <c r="V69" s="14" t="str">
        <f>IF(T69="","",IF(T69&gt;=Config!$B$9,"SI","NO"))</f>
        <v>NO</v>
      </c>
      <c r="W69" s="14" t="str">
        <f t="shared" si="1"/>
        <v/>
      </c>
      <c r="X69" s="14">
        <f t="shared" si="2"/>
        <v>11</v>
      </c>
      <c r="Z69" s="14" t="s">
        <v>41</v>
      </c>
      <c r="AA69" s="14" t="s">
        <v>42</v>
      </c>
    </row>
    <row r="70" ht="15.75" customHeight="1">
      <c r="A70" s="9">
        <v>46178.0</v>
      </c>
      <c r="B70" s="10" t="s">
        <v>97</v>
      </c>
      <c r="C70" s="10" t="s">
        <v>47</v>
      </c>
      <c r="D70" s="10" t="s">
        <v>115</v>
      </c>
      <c r="E70" s="10"/>
      <c r="F70" s="10"/>
      <c r="G70" s="10"/>
      <c r="H70" s="15" t="s">
        <v>49</v>
      </c>
      <c r="I70" s="10"/>
      <c r="J70" s="10"/>
      <c r="K70" s="10"/>
      <c r="L70" s="10"/>
      <c r="M70" s="11" t="str">
        <f>IF(COUNTA(E70,I70)=0,"",(IF(E70="",0,E70*Config!$B$11)+IF(I70="",0,I70*Config!$B$12))/(IF(E70="",0,Config!$B$11)+IF(I70="",0,Config!$B$12)))</f>
        <v/>
      </c>
      <c r="N70" s="11" t="str">
        <f>IF(COUNTA(F70,J70)=0,"",(IF(F70="",0,F70*Config!$B$11)+IF(J70="",0,J70*Config!$B$12))/(IF(F70="",0,Config!$B$11)+IF(J70="",0,Config!$B$12)))</f>
        <v/>
      </c>
      <c r="O70" s="11" t="str">
        <f>IF(COUNTA(G70,K70)=0,"",(IF(G70="",0,G70*Config!$B$11)+IF(K70="",0,K70*Config!$B$12))/(IF(G70="",0,Config!$B$11)+IF(K70="",0,Config!$B$12)))</f>
        <v/>
      </c>
      <c r="P70" s="11">
        <f>IF(COUNTA(H70,L70)=0,"",((IF(H70="No",Config!$B$11,0)+IF(L70="No",Config!$B$12,0))/(IF(H70&lt;&gt;"",Config!$B$11,0)+IF(L70&lt;&gt;"",Config!$B$12,0)))*Config!$B$5)</f>
        <v>1</v>
      </c>
      <c r="Q70" s="12"/>
      <c r="R70" s="12"/>
      <c r="S70" s="10"/>
      <c r="T70" s="13">
        <f>IF(COUNT(M70:P70)=0,"",M70*Config!$B$2+N70*Config!$B$3+O70*Config!$B$4+P70)</f>
        <v>1</v>
      </c>
      <c r="U70" s="14" t="str">
        <f>IF(T70="","",IF(T70&gt;=Config!$B$7,"MUST SEE",IF(T70&gt;=Config!$B$8,"ALTO",IF(T70&gt;=Config!$B$9,"VALUTA","SKIP"))))</f>
        <v>SKIP</v>
      </c>
      <c r="V70" s="14" t="str">
        <f>IF(T70="","",IF(T70&gt;=Config!$B$9,"SI","NO"))</f>
        <v>NO</v>
      </c>
      <c r="W70" s="14" t="str">
        <f t="shared" si="1"/>
        <v/>
      </c>
      <c r="X70" s="14">
        <f t="shared" si="2"/>
        <v>11</v>
      </c>
      <c r="Z70" s="14" t="s">
        <v>41</v>
      </c>
      <c r="AA70" s="14" t="s">
        <v>42</v>
      </c>
    </row>
    <row r="71" ht="15.75" customHeight="1">
      <c r="A71" s="9">
        <v>46178.0</v>
      </c>
      <c r="B71" s="10" t="s">
        <v>97</v>
      </c>
      <c r="C71" s="10" t="s">
        <v>47</v>
      </c>
      <c r="D71" s="10" t="s">
        <v>116</v>
      </c>
      <c r="E71" s="10"/>
      <c r="F71" s="10"/>
      <c r="G71" s="10"/>
      <c r="H71" s="15" t="s">
        <v>49</v>
      </c>
      <c r="I71" s="10"/>
      <c r="J71" s="10"/>
      <c r="K71" s="10"/>
      <c r="L71" s="10"/>
      <c r="M71" s="11" t="str">
        <f>IF(COUNTA(E71,I71)=0,"",(IF(E71="",0,E71*Config!$B$11)+IF(I71="",0,I71*Config!$B$12))/(IF(E71="",0,Config!$B$11)+IF(I71="",0,Config!$B$12)))</f>
        <v/>
      </c>
      <c r="N71" s="11" t="str">
        <f>IF(COUNTA(F71,J71)=0,"",(IF(F71="",0,F71*Config!$B$11)+IF(J71="",0,J71*Config!$B$12))/(IF(F71="",0,Config!$B$11)+IF(J71="",0,Config!$B$12)))</f>
        <v/>
      </c>
      <c r="O71" s="11" t="str">
        <f>IF(COUNTA(G71,K71)=0,"",(IF(G71="",0,G71*Config!$B$11)+IF(K71="",0,K71*Config!$B$12))/(IF(G71="",0,Config!$B$11)+IF(K71="",0,Config!$B$12)))</f>
        <v/>
      </c>
      <c r="P71" s="11">
        <f>IF(COUNTA(H71,L71)=0,"",((IF(H71="No",Config!$B$11,0)+IF(L71="No",Config!$B$12,0))/(IF(H71&lt;&gt;"",Config!$B$11,0)+IF(L71&lt;&gt;"",Config!$B$12,0)))*Config!$B$5)</f>
        <v>1</v>
      </c>
      <c r="Q71" s="12"/>
      <c r="R71" s="12"/>
      <c r="S71" s="10"/>
      <c r="T71" s="13">
        <f>IF(COUNT(M71:P71)=0,"",M71*Config!$B$2+N71*Config!$B$3+O71*Config!$B$4+P71)</f>
        <v>1</v>
      </c>
      <c r="U71" s="14" t="str">
        <f>IF(T71="","",IF(T71&gt;=Config!$B$7,"MUST SEE",IF(T71&gt;=Config!$B$8,"ALTO",IF(T71&gt;=Config!$B$9,"VALUTA","SKIP"))))</f>
        <v>SKIP</v>
      </c>
      <c r="V71" s="14" t="str">
        <f>IF(T71="","",IF(T71&gt;=Config!$B$9,"SI","NO"))</f>
        <v>NO</v>
      </c>
      <c r="W71" s="14" t="str">
        <f t="shared" si="1"/>
        <v/>
      </c>
      <c r="X71" s="14">
        <f t="shared" si="2"/>
        <v>11</v>
      </c>
      <c r="Z71" s="14" t="s">
        <v>41</v>
      </c>
      <c r="AA71" s="14" t="s">
        <v>42</v>
      </c>
    </row>
    <row r="72" ht="15.75" customHeight="1">
      <c r="A72" s="9">
        <v>46178.0</v>
      </c>
      <c r="B72" s="10" t="s">
        <v>97</v>
      </c>
      <c r="C72" s="10" t="s">
        <v>47</v>
      </c>
      <c r="D72" s="10" t="s">
        <v>117</v>
      </c>
      <c r="E72" s="10"/>
      <c r="F72" s="10"/>
      <c r="G72" s="10"/>
      <c r="H72" s="15" t="s">
        <v>49</v>
      </c>
      <c r="I72" s="10"/>
      <c r="J72" s="10"/>
      <c r="K72" s="10"/>
      <c r="L72" s="10"/>
      <c r="M72" s="11" t="str">
        <f>IF(COUNTA(E72,I72)=0,"",(IF(E72="",0,E72*Config!$B$11)+IF(I72="",0,I72*Config!$B$12))/(IF(E72="",0,Config!$B$11)+IF(I72="",0,Config!$B$12)))</f>
        <v/>
      </c>
      <c r="N72" s="11" t="str">
        <f>IF(COUNTA(F72,J72)=0,"",(IF(F72="",0,F72*Config!$B$11)+IF(J72="",0,J72*Config!$B$12))/(IF(F72="",0,Config!$B$11)+IF(J72="",0,Config!$B$12)))</f>
        <v/>
      </c>
      <c r="O72" s="11" t="str">
        <f>IF(COUNTA(G72,K72)=0,"",(IF(G72="",0,G72*Config!$B$11)+IF(K72="",0,K72*Config!$B$12))/(IF(G72="",0,Config!$B$11)+IF(K72="",0,Config!$B$12)))</f>
        <v/>
      </c>
      <c r="P72" s="11">
        <f>IF(COUNTA(H72,L72)=0,"",((IF(H72="No",Config!$B$11,0)+IF(L72="No",Config!$B$12,0))/(IF(H72&lt;&gt;"",Config!$B$11,0)+IF(L72&lt;&gt;"",Config!$B$12,0)))*Config!$B$5)</f>
        <v>1</v>
      </c>
      <c r="Q72" s="12"/>
      <c r="R72" s="12"/>
      <c r="S72" s="10"/>
      <c r="T72" s="13">
        <f>IF(COUNT(M72:P72)=0,"",M72*Config!$B$2+N72*Config!$B$3+O72*Config!$B$4+P72)</f>
        <v>1</v>
      </c>
      <c r="U72" s="14" t="str">
        <f>IF(T72="","",IF(T72&gt;=Config!$B$7,"MUST SEE",IF(T72&gt;=Config!$B$8,"ALTO",IF(T72&gt;=Config!$B$9,"VALUTA","SKIP"))))</f>
        <v>SKIP</v>
      </c>
      <c r="V72" s="14" t="str">
        <f>IF(T72="","",IF(T72&gt;=Config!$B$9,"SI","NO"))</f>
        <v>NO</v>
      </c>
      <c r="W72" s="14" t="str">
        <f t="shared" si="1"/>
        <v/>
      </c>
      <c r="X72" s="14">
        <f t="shared" si="2"/>
        <v>11</v>
      </c>
      <c r="Z72" s="14" t="s">
        <v>41</v>
      </c>
      <c r="AA72" s="14" t="s">
        <v>42</v>
      </c>
    </row>
    <row r="73" ht="15.75" customHeight="1">
      <c r="A73" s="9">
        <v>46178.0</v>
      </c>
      <c r="B73" s="10" t="s">
        <v>97</v>
      </c>
      <c r="C73" s="10" t="s">
        <v>47</v>
      </c>
      <c r="D73" s="10" t="s">
        <v>118</v>
      </c>
      <c r="E73" s="10"/>
      <c r="F73" s="10"/>
      <c r="G73" s="10"/>
      <c r="H73" s="15" t="s">
        <v>49</v>
      </c>
      <c r="I73" s="10"/>
      <c r="J73" s="10"/>
      <c r="K73" s="10"/>
      <c r="L73" s="10"/>
      <c r="M73" s="11" t="str">
        <f>IF(COUNTA(E73,I73)=0,"",(IF(E73="",0,E73*Config!$B$11)+IF(I73="",0,I73*Config!$B$12))/(IF(E73="",0,Config!$B$11)+IF(I73="",0,Config!$B$12)))</f>
        <v/>
      </c>
      <c r="N73" s="11" t="str">
        <f>IF(COUNTA(F73,J73)=0,"",(IF(F73="",0,F73*Config!$B$11)+IF(J73="",0,J73*Config!$B$12))/(IF(F73="",0,Config!$B$11)+IF(J73="",0,Config!$B$12)))</f>
        <v/>
      </c>
      <c r="O73" s="11" t="str">
        <f>IF(COUNTA(G73,K73)=0,"",(IF(G73="",0,G73*Config!$B$11)+IF(K73="",0,K73*Config!$B$12))/(IF(G73="",0,Config!$B$11)+IF(K73="",0,Config!$B$12)))</f>
        <v/>
      </c>
      <c r="P73" s="11">
        <f>IF(COUNTA(H73,L73)=0,"",((IF(H73="No",Config!$B$11,0)+IF(L73="No",Config!$B$12,0))/(IF(H73&lt;&gt;"",Config!$B$11,0)+IF(L73&lt;&gt;"",Config!$B$12,0)))*Config!$B$5)</f>
        <v>1</v>
      </c>
      <c r="Q73" s="12"/>
      <c r="R73" s="12"/>
      <c r="S73" s="10"/>
      <c r="T73" s="13">
        <f>IF(COUNT(M73:P73)=0,"",M73*Config!$B$2+N73*Config!$B$3+O73*Config!$B$4+P73)</f>
        <v>1</v>
      </c>
      <c r="U73" s="14" t="str">
        <f>IF(T73="","",IF(T73&gt;=Config!$B$7,"MUST SEE",IF(T73&gt;=Config!$B$8,"ALTO",IF(T73&gt;=Config!$B$9,"VALUTA","SKIP"))))</f>
        <v>SKIP</v>
      </c>
      <c r="V73" s="14" t="str">
        <f>IF(T73="","",IF(T73&gt;=Config!$B$9,"SI","NO"))</f>
        <v>NO</v>
      </c>
      <c r="W73" s="14" t="str">
        <f t="shared" si="1"/>
        <v/>
      </c>
      <c r="X73" s="14">
        <f t="shared" si="2"/>
        <v>11</v>
      </c>
      <c r="Z73" s="14" t="s">
        <v>41</v>
      </c>
      <c r="AA73" s="14" t="s">
        <v>42</v>
      </c>
    </row>
    <row r="74" ht="15.75" customHeight="1">
      <c r="A74" s="9">
        <v>46178.0</v>
      </c>
      <c r="B74" s="10" t="s">
        <v>97</v>
      </c>
      <c r="C74" s="10" t="s">
        <v>47</v>
      </c>
      <c r="D74" s="10" t="s">
        <v>119</v>
      </c>
      <c r="E74" s="10"/>
      <c r="F74" s="10"/>
      <c r="G74" s="10"/>
      <c r="H74" s="15" t="s">
        <v>49</v>
      </c>
      <c r="I74" s="10"/>
      <c r="J74" s="10"/>
      <c r="K74" s="10"/>
      <c r="L74" s="10"/>
      <c r="M74" s="11" t="str">
        <f>IF(COUNTA(E74,I74)=0,"",(IF(E74="",0,E74*Config!$B$11)+IF(I74="",0,I74*Config!$B$12))/(IF(E74="",0,Config!$B$11)+IF(I74="",0,Config!$B$12)))</f>
        <v/>
      </c>
      <c r="N74" s="11" t="str">
        <f>IF(COUNTA(F74,J74)=0,"",(IF(F74="",0,F74*Config!$B$11)+IF(J74="",0,J74*Config!$B$12))/(IF(F74="",0,Config!$B$11)+IF(J74="",0,Config!$B$12)))</f>
        <v/>
      </c>
      <c r="O74" s="11" t="str">
        <f>IF(COUNTA(G74,K74)=0,"",(IF(G74="",0,G74*Config!$B$11)+IF(K74="",0,K74*Config!$B$12))/(IF(G74="",0,Config!$B$11)+IF(K74="",0,Config!$B$12)))</f>
        <v/>
      </c>
      <c r="P74" s="11">
        <f>IF(COUNTA(H74,L74)=0,"",((IF(H74="No",Config!$B$11,0)+IF(L74="No",Config!$B$12,0))/(IF(H74&lt;&gt;"",Config!$B$11,0)+IF(L74&lt;&gt;"",Config!$B$12,0)))*Config!$B$5)</f>
        <v>1</v>
      </c>
      <c r="Q74" s="12"/>
      <c r="R74" s="12"/>
      <c r="S74" s="10"/>
      <c r="T74" s="13">
        <f>IF(COUNT(M74:P74)=0,"",M74*Config!$B$2+N74*Config!$B$3+O74*Config!$B$4+P74)</f>
        <v>1</v>
      </c>
      <c r="U74" s="14" t="str">
        <f>IF(T74="","",IF(T74&gt;=Config!$B$7,"MUST SEE",IF(T74&gt;=Config!$B$8,"ALTO",IF(T74&gt;=Config!$B$9,"VALUTA","SKIP"))))</f>
        <v>SKIP</v>
      </c>
      <c r="V74" s="14" t="str">
        <f>IF(T74="","",IF(T74&gt;=Config!$B$9,"SI","NO"))</f>
        <v>NO</v>
      </c>
      <c r="W74" s="14" t="str">
        <f t="shared" si="1"/>
        <v/>
      </c>
      <c r="X74" s="14">
        <f t="shared" si="2"/>
        <v>11</v>
      </c>
      <c r="Z74" s="14" t="s">
        <v>41</v>
      </c>
      <c r="AA74" s="14" t="s">
        <v>42</v>
      </c>
    </row>
    <row r="75" ht="15.75" customHeight="1">
      <c r="A75" s="9">
        <v>46178.0</v>
      </c>
      <c r="B75" s="10" t="s">
        <v>97</v>
      </c>
      <c r="C75" s="10" t="s">
        <v>47</v>
      </c>
      <c r="D75" s="10" t="s">
        <v>120</v>
      </c>
      <c r="E75" s="10"/>
      <c r="F75" s="10"/>
      <c r="G75" s="10"/>
      <c r="H75" s="15" t="s">
        <v>49</v>
      </c>
      <c r="I75" s="10"/>
      <c r="J75" s="10"/>
      <c r="K75" s="10"/>
      <c r="L75" s="10"/>
      <c r="M75" s="11" t="str">
        <f>IF(COUNTA(E75,I75)=0,"",(IF(E75="",0,E75*Config!$B$11)+IF(I75="",0,I75*Config!$B$12))/(IF(E75="",0,Config!$B$11)+IF(I75="",0,Config!$B$12)))</f>
        <v/>
      </c>
      <c r="N75" s="11" t="str">
        <f>IF(COUNTA(F75,J75)=0,"",(IF(F75="",0,F75*Config!$B$11)+IF(J75="",0,J75*Config!$B$12))/(IF(F75="",0,Config!$B$11)+IF(J75="",0,Config!$B$12)))</f>
        <v/>
      </c>
      <c r="O75" s="11" t="str">
        <f>IF(COUNTA(G75,K75)=0,"",(IF(G75="",0,G75*Config!$B$11)+IF(K75="",0,K75*Config!$B$12))/(IF(G75="",0,Config!$B$11)+IF(K75="",0,Config!$B$12)))</f>
        <v/>
      </c>
      <c r="P75" s="11">
        <f>IF(COUNTA(H75,L75)=0,"",((IF(H75="No",Config!$B$11,0)+IF(L75="No",Config!$B$12,0))/(IF(H75&lt;&gt;"",Config!$B$11,0)+IF(L75&lt;&gt;"",Config!$B$12,0)))*Config!$B$5)</f>
        <v>1</v>
      </c>
      <c r="Q75" s="12"/>
      <c r="R75" s="12"/>
      <c r="S75" s="10"/>
      <c r="T75" s="13">
        <f>IF(COUNT(M75:P75)=0,"",M75*Config!$B$2+N75*Config!$B$3+O75*Config!$B$4+P75)</f>
        <v>1</v>
      </c>
      <c r="U75" s="14" t="str">
        <f>IF(T75="","",IF(T75&gt;=Config!$B$7,"MUST SEE",IF(T75&gt;=Config!$B$8,"ALTO",IF(T75&gt;=Config!$B$9,"VALUTA","SKIP"))))</f>
        <v>SKIP</v>
      </c>
      <c r="V75" s="14" t="str">
        <f>IF(T75="","",IF(T75&gt;=Config!$B$9,"SI","NO"))</f>
        <v>NO</v>
      </c>
      <c r="W75" s="14" t="str">
        <f t="shared" si="1"/>
        <v/>
      </c>
      <c r="X75" s="14">
        <f t="shared" si="2"/>
        <v>11</v>
      </c>
      <c r="Z75" s="14" t="s">
        <v>41</v>
      </c>
      <c r="AA75" s="14" t="s">
        <v>42</v>
      </c>
    </row>
    <row r="76" ht="15.75" customHeight="1">
      <c r="A76" s="9">
        <v>46178.0</v>
      </c>
      <c r="B76" s="10" t="s">
        <v>97</v>
      </c>
      <c r="C76" s="10" t="s">
        <v>47</v>
      </c>
      <c r="D76" s="10" t="s">
        <v>121</v>
      </c>
      <c r="E76" s="10"/>
      <c r="F76" s="10"/>
      <c r="G76" s="10"/>
      <c r="H76" s="15" t="s">
        <v>49</v>
      </c>
      <c r="I76" s="10"/>
      <c r="J76" s="10"/>
      <c r="K76" s="10"/>
      <c r="L76" s="10"/>
      <c r="M76" s="11" t="str">
        <f>IF(COUNTA(E76,I76)=0,"",(IF(E76="",0,E76*Config!$B$11)+IF(I76="",0,I76*Config!$B$12))/(IF(E76="",0,Config!$B$11)+IF(I76="",0,Config!$B$12)))</f>
        <v/>
      </c>
      <c r="N76" s="11" t="str">
        <f>IF(COUNTA(F76,J76)=0,"",(IF(F76="",0,F76*Config!$B$11)+IF(J76="",0,J76*Config!$B$12))/(IF(F76="",0,Config!$B$11)+IF(J76="",0,Config!$B$12)))</f>
        <v/>
      </c>
      <c r="O76" s="11" t="str">
        <f>IF(COUNTA(G76,K76)=0,"",(IF(G76="",0,G76*Config!$B$11)+IF(K76="",0,K76*Config!$B$12))/(IF(G76="",0,Config!$B$11)+IF(K76="",0,Config!$B$12)))</f>
        <v/>
      </c>
      <c r="P76" s="11">
        <f>IF(COUNTA(H76,L76)=0,"",((IF(H76="No",Config!$B$11,0)+IF(L76="No",Config!$B$12,0))/(IF(H76&lt;&gt;"",Config!$B$11,0)+IF(L76&lt;&gt;"",Config!$B$12,0)))*Config!$B$5)</f>
        <v>1</v>
      </c>
      <c r="Q76" s="12"/>
      <c r="R76" s="12"/>
      <c r="S76" s="10"/>
      <c r="T76" s="13">
        <f>IF(COUNT(M76:P76)=0,"",M76*Config!$B$2+N76*Config!$B$3+O76*Config!$B$4+P76)</f>
        <v>1</v>
      </c>
      <c r="U76" s="14" t="str">
        <f>IF(T76="","",IF(T76&gt;=Config!$B$7,"MUST SEE",IF(T76&gt;=Config!$B$8,"ALTO",IF(T76&gt;=Config!$B$9,"VALUTA","SKIP"))))</f>
        <v>SKIP</v>
      </c>
      <c r="V76" s="14" t="str">
        <f>IF(T76="","",IF(T76&gt;=Config!$B$9,"SI","NO"))</f>
        <v>NO</v>
      </c>
      <c r="W76" s="14" t="str">
        <f t="shared" si="1"/>
        <v/>
      </c>
      <c r="X76" s="14">
        <f t="shared" si="2"/>
        <v>11</v>
      </c>
      <c r="Z76" s="14" t="s">
        <v>41</v>
      </c>
      <c r="AA76" s="14" t="s">
        <v>42</v>
      </c>
    </row>
    <row r="77" ht="15.75" customHeight="1">
      <c r="A77" s="9">
        <v>46178.0</v>
      </c>
      <c r="B77" s="10" t="s">
        <v>97</v>
      </c>
      <c r="C77" s="10" t="s">
        <v>47</v>
      </c>
      <c r="D77" s="10" t="s">
        <v>122</v>
      </c>
      <c r="E77" s="10"/>
      <c r="F77" s="10"/>
      <c r="G77" s="10"/>
      <c r="H77" s="15" t="s">
        <v>49</v>
      </c>
      <c r="I77" s="15">
        <v>1.0</v>
      </c>
      <c r="J77" s="15">
        <v>1.0</v>
      </c>
      <c r="K77" s="15">
        <v>5.0</v>
      </c>
      <c r="L77" s="15" t="s">
        <v>49</v>
      </c>
      <c r="M77" s="11">
        <f>IF(COUNTA(E77,I77)=0,"",(IF(E77="",0,E77*Config!$B$11)+IF(I77="",0,I77*Config!$B$12))/(IF(E77="",0,Config!$B$11)+IF(I77="",0,Config!$B$12)))</f>
        <v>1</v>
      </c>
      <c r="N77" s="11">
        <f>IF(COUNTA(F77,J77)=0,"",(IF(F77="",0,F77*Config!$B$11)+IF(J77="",0,J77*Config!$B$12))/(IF(F77="",0,Config!$B$11)+IF(J77="",0,Config!$B$12)))</f>
        <v>1</v>
      </c>
      <c r="O77" s="11">
        <f>IF(COUNTA(G77,K77)=0,"",(IF(G77="",0,G77*Config!$B$11)+IF(K77="",0,K77*Config!$B$12))/(IF(G77="",0,Config!$B$11)+IF(K77="",0,Config!$B$12)))</f>
        <v>5</v>
      </c>
      <c r="P77" s="11">
        <f>IF(COUNTA(H77,L77)=0,"",((IF(H77="No",Config!$B$11,0)+IF(L77="No",Config!$B$12,0))/(IF(H77&lt;&gt;"",Config!$B$11,0)+IF(L77&lt;&gt;"",Config!$B$12,0)))*Config!$B$5)</f>
        <v>1</v>
      </c>
      <c r="Q77" s="12"/>
      <c r="R77" s="12"/>
      <c r="S77" s="10"/>
      <c r="T77" s="13">
        <f>IF(COUNT(M77:P77)=0,"",M77*Config!$B$2+N77*Config!$B$3+O77*Config!$B$4+P77)</f>
        <v>10</v>
      </c>
      <c r="U77" s="14" t="str">
        <f>IF(T77="","",IF(T77&gt;=Config!$B$7,"MUST SEE",IF(T77&gt;=Config!$B$8,"ALTO",IF(T77&gt;=Config!$B$9,"VALUTA","SKIP"))))</f>
        <v>SKIP</v>
      </c>
      <c r="V77" s="14" t="str">
        <f>IF(T77="","",IF(T77&gt;=Config!$B$9,"SI","NO"))</f>
        <v>NO</v>
      </c>
      <c r="W77" s="14" t="str">
        <f t="shared" si="1"/>
        <v/>
      </c>
      <c r="X77" s="14">
        <f t="shared" si="2"/>
        <v>8</v>
      </c>
      <c r="Z77" s="14" t="s">
        <v>41</v>
      </c>
      <c r="AA77" s="14" t="s">
        <v>42</v>
      </c>
    </row>
    <row r="78" ht="15.75" customHeight="1">
      <c r="A78" s="9">
        <v>46178.0</v>
      </c>
      <c r="B78" s="10" t="s">
        <v>97</v>
      </c>
      <c r="C78" s="10" t="s">
        <v>47</v>
      </c>
      <c r="D78" s="10" t="s">
        <v>123</v>
      </c>
      <c r="E78" s="10"/>
      <c r="F78" s="10"/>
      <c r="G78" s="10"/>
      <c r="H78" s="15" t="s">
        <v>49</v>
      </c>
      <c r="I78" s="10"/>
      <c r="J78" s="10"/>
      <c r="K78" s="10"/>
      <c r="L78" s="10"/>
      <c r="M78" s="11" t="str">
        <f>IF(COUNTA(E78,I78)=0,"",(IF(E78="",0,E78*Config!$B$11)+IF(I78="",0,I78*Config!$B$12))/(IF(E78="",0,Config!$B$11)+IF(I78="",0,Config!$B$12)))</f>
        <v/>
      </c>
      <c r="N78" s="11" t="str">
        <f>IF(COUNTA(F78,J78)=0,"",(IF(F78="",0,F78*Config!$B$11)+IF(J78="",0,J78*Config!$B$12))/(IF(F78="",0,Config!$B$11)+IF(J78="",0,Config!$B$12)))</f>
        <v/>
      </c>
      <c r="O78" s="11" t="str">
        <f>IF(COUNTA(G78,K78)=0,"",(IF(G78="",0,G78*Config!$B$11)+IF(K78="",0,K78*Config!$B$12))/(IF(G78="",0,Config!$B$11)+IF(K78="",0,Config!$B$12)))</f>
        <v/>
      </c>
      <c r="P78" s="11">
        <f>IF(COUNTA(H78,L78)=0,"",((IF(H78="No",Config!$B$11,0)+IF(L78="No",Config!$B$12,0))/(IF(H78&lt;&gt;"",Config!$B$11,0)+IF(L78&lt;&gt;"",Config!$B$12,0)))*Config!$B$5)</f>
        <v>1</v>
      </c>
      <c r="Q78" s="12"/>
      <c r="R78" s="12"/>
      <c r="S78" s="10"/>
      <c r="T78" s="13">
        <f>IF(COUNT(M78:P78)=0,"",M78*Config!$B$2+N78*Config!$B$3+O78*Config!$B$4+P78)</f>
        <v>1</v>
      </c>
      <c r="U78" s="14" t="str">
        <f>IF(T78="","",IF(T78&gt;=Config!$B$7,"MUST SEE",IF(T78&gt;=Config!$B$8,"ALTO",IF(T78&gt;=Config!$B$9,"VALUTA","SKIP"))))</f>
        <v>SKIP</v>
      </c>
      <c r="V78" s="14" t="str">
        <f>IF(T78="","",IF(T78&gt;=Config!$B$9,"SI","NO"))</f>
        <v>NO</v>
      </c>
      <c r="W78" s="14" t="str">
        <f t="shared" si="1"/>
        <v/>
      </c>
      <c r="X78" s="14">
        <f t="shared" si="2"/>
        <v>11</v>
      </c>
      <c r="Z78" s="14" t="s">
        <v>41</v>
      </c>
      <c r="AA78" s="14" t="s">
        <v>42</v>
      </c>
    </row>
    <row r="79" ht="15.75" customHeight="1">
      <c r="A79" s="9">
        <v>46178.0</v>
      </c>
      <c r="B79" s="10" t="s">
        <v>97</v>
      </c>
      <c r="C79" s="10" t="s">
        <v>47</v>
      </c>
      <c r="D79" s="10" t="s">
        <v>124</v>
      </c>
      <c r="E79" s="10"/>
      <c r="F79" s="10"/>
      <c r="G79" s="10"/>
      <c r="H79" s="15" t="s">
        <v>49</v>
      </c>
      <c r="I79" s="10"/>
      <c r="J79" s="10"/>
      <c r="K79" s="10"/>
      <c r="L79" s="10"/>
      <c r="M79" s="11" t="str">
        <f>IF(COUNTA(E79,I79)=0,"",(IF(E79="",0,E79*Config!$B$11)+IF(I79="",0,I79*Config!$B$12))/(IF(E79="",0,Config!$B$11)+IF(I79="",0,Config!$B$12)))</f>
        <v/>
      </c>
      <c r="N79" s="11" t="str">
        <f>IF(COUNTA(F79,J79)=0,"",(IF(F79="",0,F79*Config!$B$11)+IF(J79="",0,J79*Config!$B$12))/(IF(F79="",0,Config!$B$11)+IF(J79="",0,Config!$B$12)))</f>
        <v/>
      </c>
      <c r="O79" s="11" t="str">
        <f>IF(COUNTA(G79,K79)=0,"",(IF(G79="",0,G79*Config!$B$11)+IF(K79="",0,K79*Config!$B$12))/(IF(G79="",0,Config!$B$11)+IF(K79="",0,Config!$B$12)))</f>
        <v/>
      </c>
      <c r="P79" s="11">
        <f>IF(COUNTA(H79,L79)=0,"",((IF(H79="No",Config!$B$11,0)+IF(L79="No",Config!$B$12,0))/(IF(H79&lt;&gt;"",Config!$B$11,0)+IF(L79&lt;&gt;"",Config!$B$12,0)))*Config!$B$5)</f>
        <v>1</v>
      </c>
      <c r="Q79" s="12"/>
      <c r="R79" s="12"/>
      <c r="S79" s="10"/>
      <c r="T79" s="13">
        <f>IF(COUNT(M79:P79)=0,"",M79*Config!$B$2+N79*Config!$B$3+O79*Config!$B$4+P79)</f>
        <v>1</v>
      </c>
      <c r="U79" s="14" t="str">
        <f>IF(T79="","",IF(T79&gt;=Config!$B$7,"MUST SEE",IF(T79&gt;=Config!$B$8,"ALTO",IF(T79&gt;=Config!$B$9,"VALUTA","SKIP"))))</f>
        <v>SKIP</v>
      </c>
      <c r="V79" s="14" t="str">
        <f>IF(T79="","",IF(T79&gt;=Config!$B$9,"SI","NO"))</f>
        <v>NO</v>
      </c>
      <c r="W79" s="14" t="str">
        <f t="shared" si="1"/>
        <v/>
      </c>
      <c r="X79" s="14">
        <f t="shared" si="2"/>
        <v>11</v>
      </c>
      <c r="Z79" s="14" t="s">
        <v>41</v>
      </c>
      <c r="AA79" s="14" t="s">
        <v>42</v>
      </c>
    </row>
    <row r="80" ht="15.75" customHeight="1">
      <c r="A80" s="9">
        <v>46178.0</v>
      </c>
      <c r="B80" s="10" t="s">
        <v>97</v>
      </c>
      <c r="C80" s="10" t="s">
        <v>47</v>
      </c>
      <c r="D80" s="10" t="s">
        <v>125</v>
      </c>
      <c r="E80" s="10"/>
      <c r="F80" s="10"/>
      <c r="G80" s="10"/>
      <c r="H80" s="15" t="s">
        <v>49</v>
      </c>
      <c r="I80" s="10"/>
      <c r="J80" s="10"/>
      <c r="K80" s="10"/>
      <c r="L80" s="10"/>
      <c r="M80" s="11" t="str">
        <f>IF(COUNTA(E80,I80)=0,"",(IF(E80="",0,E80*Config!$B$11)+IF(I80="",0,I80*Config!$B$12))/(IF(E80="",0,Config!$B$11)+IF(I80="",0,Config!$B$12)))</f>
        <v/>
      </c>
      <c r="N80" s="11" t="str">
        <f>IF(COUNTA(F80,J80)=0,"",(IF(F80="",0,F80*Config!$B$11)+IF(J80="",0,J80*Config!$B$12))/(IF(F80="",0,Config!$B$11)+IF(J80="",0,Config!$B$12)))</f>
        <v/>
      </c>
      <c r="O80" s="11" t="str">
        <f>IF(COUNTA(G80,K80)=0,"",(IF(G80="",0,G80*Config!$B$11)+IF(K80="",0,K80*Config!$B$12))/(IF(G80="",0,Config!$B$11)+IF(K80="",0,Config!$B$12)))</f>
        <v/>
      </c>
      <c r="P80" s="11">
        <f>IF(COUNTA(H80,L80)=0,"",((IF(H80="No",Config!$B$11,0)+IF(L80="No",Config!$B$12,0))/(IF(H80&lt;&gt;"",Config!$B$11,0)+IF(L80&lt;&gt;"",Config!$B$12,0)))*Config!$B$5)</f>
        <v>1</v>
      </c>
      <c r="Q80" s="12"/>
      <c r="R80" s="12"/>
      <c r="S80" s="10"/>
      <c r="T80" s="13">
        <f>IF(COUNT(M80:P80)=0,"",M80*Config!$B$2+N80*Config!$B$3+O80*Config!$B$4+P80)</f>
        <v>1</v>
      </c>
      <c r="U80" s="14" t="str">
        <f>IF(T80="","",IF(T80&gt;=Config!$B$7,"MUST SEE",IF(T80&gt;=Config!$B$8,"ALTO",IF(T80&gt;=Config!$B$9,"VALUTA","SKIP"))))</f>
        <v>SKIP</v>
      </c>
      <c r="V80" s="14" t="str">
        <f>IF(T80="","",IF(T80&gt;=Config!$B$9,"SI","NO"))</f>
        <v>NO</v>
      </c>
      <c r="W80" s="14" t="str">
        <f t="shared" si="1"/>
        <v/>
      </c>
      <c r="X80" s="14">
        <f t="shared" si="2"/>
        <v>11</v>
      </c>
      <c r="Z80" s="14" t="s">
        <v>41</v>
      </c>
      <c r="AA80" s="14" t="s">
        <v>42</v>
      </c>
    </row>
    <row r="81" ht="15.75" customHeight="1">
      <c r="A81" s="9">
        <v>46178.0</v>
      </c>
      <c r="B81" s="10" t="s">
        <v>97</v>
      </c>
      <c r="C81" s="10" t="s">
        <v>47</v>
      </c>
      <c r="D81" s="10" t="s">
        <v>126</v>
      </c>
      <c r="E81" s="10"/>
      <c r="F81" s="10"/>
      <c r="G81" s="10"/>
      <c r="H81" s="15" t="s">
        <v>49</v>
      </c>
      <c r="I81" s="10"/>
      <c r="J81" s="10"/>
      <c r="K81" s="10"/>
      <c r="L81" s="10"/>
      <c r="M81" s="11" t="str">
        <f>IF(COUNTA(E81,I81)=0,"",(IF(E81="",0,E81*Config!$B$11)+IF(I81="",0,I81*Config!$B$12))/(IF(E81="",0,Config!$B$11)+IF(I81="",0,Config!$B$12)))</f>
        <v/>
      </c>
      <c r="N81" s="11" t="str">
        <f>IF(COUNTA(F81,J81)=0,"",(IF(F81="",0,F81*Config!$B$11)+IF(J81="",0,J81*Config!$B$12))/(IF(F81="",0,Config!$B$11)+IF(J81="",0,Config!$B$12)))</f>
        <v/>
      </c>
      <c r="O81" s="11" t="str">
        <f>IF(COUNTA(G81,K81)=0,"",(IF(G81="",0,G81*Config!$B$11)+IF(K81="",0,K81*Config!$B$12))/(IF(G81="",0,Config!$B$11)+IF(K81="",0,Config!$B$12)))</f>
        <v/>
      </c>
      <c r="P81" s="11">
        <f>IF(COUNTA(H81,L81)=0,"",((IF(H81="No",Config!$B$11,0)+IF(L81="No",Config!$B$12,0))/(IF(H81&lt;&gt;"",Config!$B$11,0)+IF(L81&lt;&gt;"",Config!$B$12,0)))*Config!$B$5)</f>
        <v>1</v>
      </c>
      <c r="Q81" s="12"/>
      <c r="R81" s="12"/>
      <c r="S81" s="10"/>
      <c r="T81" s="13">
        <f>IF(COUNT(M81:P81)=0,"",M81*Config!$B$2+N81*Config!$B$3+O81*Config!$B$4+P81)</f>
        <v>1</v>
      </c>
      <c r="U81" s="14" t="str">
        <f>IF(T81="","",IF(T81&gt;=Config!$B$7,"MUST SEE",IF(T81&gt;=Config!$B$8,"ALTO",IF(T81&gt;=Config!$B$9,"VALUTA","SKIP"))))</f>
        <v>SKIP</v>
      </c>
      <c r="V81" s="14" t="str">
        <f>IF(T81="","",IF(T81&gt;=Config!$B$9,"SI","NO"))</f>
        <v>NO</v>
      </c>
      <c r="W81" s="14" t="str">
        <f t="shared" si="1"/>
        <v/>
      </c>
      <c r="X81" s="14">
        <f t="shared" si="2"/>
        <v>11</v>
      </c>
      <c r="Z81" s="14" t="s">
        <v>41</v>
      </c>
      <c r="AA81" s="14" t="s">
        <v>42</v>
      </c>
    </row>
    <row r="82" ht="15.75" customHeight="1">
      <c r="A82" s="9">
        <v>46178.0</v>
      </c>
      <c r="B82" s="10" t="s">
        <v>97</v>
      </c>
      <c r="C82" s="10" t="s">
        <v>47</v>
      </c>
      <c r="D82" s="10" t="s">
        <v>127</v>
      </c>
      <c r="E82" s="10"/>
      <c r="F82" s="10"/>
      <c r="G82" s="10"/>
      <c r="H82" s="15" t="s">
        <v>49</v>
      </c>
      <c r="I82" s="15">
        <v>7.0</v>
      </c>
      <c r="J82" s="15">
        <v>2.0</v>
      </c>
      <c r="K82" s="15">
        <v>4.0</v>
      </c>
      <c r="L82" s="15" t="s">
        <v>49</v>
      </c>
      <c r="M82" s="11">
        <f>IF(COUNTA(E82,I82)=0,"",(IF(E82="",0,E82*Config!$B$11)+IF(I82="",0,I82*Config!$B$12))/(IF(E82="",0,Config!$B$11)+IF(I82="",0,Config!$B$12)))</f>
        <v>7</v>
      </c>
      <c r="N82" s="11">
        <f>IF(COUNTA(F82,J82)=0,"",(IF(F82="",0,F82*Config!$B$11)+IF(J82="",0,J82*Config!$B$12))/(IF(F82="",0,Config!$B$11)+IF(J82="",0,Config!$B$12)))</f>
        <v>2</v>
      </c>
      <c r="O82" s="11">
        <f>IF(COUNTA(G82,K82)=0,"",(IF(G82="",0,G82*Config!$B$11)+IF(K82="",0,K82*Config!$B$12))/(IF(G82="",0,Config!$B$11)+IF(K82="",0,Config!$B$12)))</f>
        <v>4</v>
      </c>
      <c r="P82" s="11">
        <f>IF(COUNTA(H82,L82)=0,"",((IF(H82="No",Config!$B$11,0)+IF(L82="No",Config!$B$12,0))/(IF(H82&lt;&gt;"",Config!$B$11,0)+IF(L82&lt;&gt;"",Config!$B$12,0)))*Config!$B$5)</f>
        <v>1</v>
      </c>
      <c r="Q82" s="12"/>
      <c r="R82" s="12"/>
      <c r="S82" s="10"/>
      <c r="T82" s="13">
        <f>IF(COUNT(M82:P82)=0,"",M82*Config!$B$2+N82*Config!$B$3+O82*Config!$B$4+P82)</f>
        <v>23</v>
      </c>
      <c r="U82" s="14" t="str">
        <f>IF(T82="","",IF(T82&gt;=Config!$B$7,"MUST SEE",IF(T82&gt;=Config!$B$8,"ALTO",IF(T82&gt;=Config!$B$9,"VALUTA","SKIP"))))</f>
        <v>ALTO</v>
      </c>
      <c r="V82" s="14" t="str">
        <f>IF(T82="","",IF(T82&gt;=Config!$B$9,"SI","NO"))</f>
        <v>SI</v>
      </c>
      <c r="W82" s="14" t="str">
        <f t="shared" si="1"/>
        <v/>
      </c>
      <c r="X82" s="14">
        <f t="shared" si="2"/>
        <v>4</v>
      </c>
      <c r="Z82" s="14" t="s">
        <v>41</v>
      </c>
      <c r="AA82" s="14" t="s">
        <v>42</v>
      </c>
    </row>
    <row r="83" ht="15.75" customHeight="1">
      <c r="A83" s="9">
        <v>46178.0</v>
      </c>
      <c r="B83" s="10" t="s">
        <v>97</v>
      </c>
      <c r="C83" s="10" t="s">
        <v>47</v>
      </c>
      <c r="D83" s="10" t="s">
        <v>128</v>
      </c>
      <c r="E83" s="10"/>
      <c r="F83" s="10"/>
      <c r="G83" s="10"/>
      <c r="H83" s="15" t="s">
        <v>49</v>
      </c>
      <c r="I83" s="10"/>
      <c r="J83" s="10"/>
      <c r="K83" s="10"/>
      <c r="L83" s="10"/>
      <c r="M83" s="11" t="str">
        <f>IF(COUNTA(E83,I83)=0,"",(IF(E83="",0,E83*Config!$B$11)+IF(I83="",0,I83*Config!$B$12))/(IF(E83="",0,Config!$B$11)+IF(I83="",0,Config!$B$12)))</f>
        <v/>
      </c>
      <c r="N83" s="11" t="str">
        <f>IF(COUNTA(F83,J83)=0,"",(IF(F83="",0,F83*Config!$B$11)+IF(J83="",0,J83*Config!$B$12))/(IF(F83="",0,Config!$B$11)+IF(J83="",0,Config!$B$12)))</f>
        <v/>
      </c>
      <c r="O83" s="11" t="str">
        <f>IF(COUNTA(G83,K83)=0,"",(IF(G83="",0,G83*Config!$B$11)+IF(K83="",0,K83*Config!$B$12))/(IF(G83="",0,Config!$B$11)+IF(K83="",0,Config!$B$12)))</f>
        <v/>
      </c>
      <c r="P83" s="11">
        <f>IF(COUNTA(H83,L83)=0,"",((IF(H83="No",Config!$B$11,0)+IF(L83="No",Config!$B$12,0))/(IF(H83&lt;&gt;"",Config!$B$11,0)+IF(L83&lt;&gt;"",Config!$B$12,0)))*Config!$B$5)</f>
        <v>1</v>
      </c>
      <c r="Q83" s="12"/>
      <c r="R83" s="12"/>
      <c r="S83" s="10"/>
      <c r="T83" s="13">
        <f>IF(COUNT(M83:P83)=0,"",M83*Config!$B$2+N83*Config!$B$3+O83*Config!$B$4+P83)</f>
        <v>1</v>
      </c>
      <c r="U83" s="14" t="str">
        <f>IF(T83="","",IF(T83&gt;=Config!$B$7,"MUST SEE",IF(T83&gt;=Config!$B$8,"ALTO",IF(T83&gt;=Config!$B$9,"VALUTA","SKIP"))))</f>
        <v>SKIP</v>
      </c>
      <c r="V83" s="14" t="str">
        <f>IF(T83="","",IF(T83&gt;=Config!$B$9,"SI","NO"))</f>
        <v>NO</v>
      </c>
      <c r="W83" s="14" t="str">
        <f t="shared" si="1"/>
        <v/>
      </c>
      <c r="X83" s="14">
        <f t="shared" si="2"/>
        <v>11</v>
      </c>
      <c r="Z83" s="14" t="s">
        <v>41</v>
      </c>
      <c r="AA83" s="14" t="s">
        <v>42</v>
      </c>
    </row>
    <row r="84" ht="15.75" customHeight="1">
      <c r="A84" s="9">
        <v>46178.0</v>
      </c>
      <c r="B84" s="10" t="s">
        <v>97</v>
      </c>
      <c r="C84" s="10" t="s">
        <v>47</v>
      </c>
      <c r="D84" s="10" t="s">
        <v>129</v>
      </c>
      <c r="E84" s="10"/>
      <c r="F84" s="10"/>
      <c r="G84" s="10"/>
      <c r="H84" s="15" t="s">
        <v>49</v>
      </c>
      <c r="I84" s="10"/>
      <c r="J84" s="10"/>
      <c r="K84" s="10"/>
      <c r="L84" s="10"/>
      <c r="M84" s="11" t="str">
        <f>IF(COUNTA(E84,I84)=0,"",(IF(E84="",0,E84*Config!$B$11)+IF(I84="",0,I84*Config!$B$12))/(IF(E84="",0,Config!$B$11)+IF(I84="",0,Config!$B$12)))</f>
        <v/>
      </c>
      <c r="N84" s="11" t="str">
        <f>IF(COUNTA(F84,J84)=0,"",(IF(F84="",0,F84*Config!$B$11)+IF(J84="",0,J84*Config!$B$12))/(IF(F84="",0,Config!$B$11)+IF(J84="",0,Config!$B$12)))</f>
        <v/>
      </c>
      <c r="O84" s="11" t="str">
        <f>IF(COUNTA(G84,K84)=0,"",(IF(G84="",0,G84*Config!$B$11)+IF(K84="",0,K84*Config!$B$12))/(IF(G84="",0,Config!$B$11)+IF(K84="",0,Config!$B$12)))</f>
        <v/>
      </c>
      <c r="P84" s="11">
        <f>IF(COUNTA(H84,L84)=0,"",((IF(H84="No",Config!$B$11,0)+IF(L84="No",Config!$B$12,0))/(IF(H84&lt;&gt;"",Config!$B$11,0)+IF(L84&lt;&gt;"",Config!$B$12,0)))*Config!$B$5)</f>
        <v>1</v>
      </c>
      <c r="Q84" s="12"/>
      <c r="R84" s="12"/>
      <c r="S84" s="10"/>
      <c r="T84" s="13">
        <f>IF(COUNT(M84:P84)=0,"",M84*Config!$B$2+N84*Config!$B$3+O84*Config!$B$4+P84)</f>
        <v>1</v>
      </c>
      <c r="U84" s="14" t="str">
        <f>IF(T84="","",IF(T84&gt;=Config!$B$7,"MUST SEE",IF(T84&gt;=Config!$B$8,"ALTO",IF(T84&gt;=Config!$B$9,"VALUTA","SKIP"))))</f>
        <v>SKIP</v>
      </c>
      <c r="V84" s="14" t="str">
        <f>IF(T84="","",IF(T84&gt;=Config!$B$9,"SI","NO"))</f>
        <v>NO</v>
      </c>
      <c r="W84" s="14" t="str">
        <f t="shared" si="1"/>
        <v/>
      </c>
      <c r="X84" s="14">
        <f t="shared" si="2"/>
        <v>11</v>
      </c>
      <c r="Z84" s="14" t="s">
        <v>41</v>
      </c>
      <c r="AA84" s="14" t="s">
        <v>42</v>
      </c>
    </row>
    <row r="85" ht="15.75" customHeight="1">
      <c r="A85" s="9">
        <v>46178.0</v>
      </c>
      <c r="B85" s="10" t="s">
        <v>97</v>
      </c>
      <c r="C85" s="10" t="s">
        <v>47</v>
      </c>
      <c r="D85" s="10" t="s">
        <v>130</v>
      </c>
      <c r="E85" s="10"/>
      <c r="F85" s="10"/>
      <c r="G85" s="10"/>
      <c r="H85" s="15" t="s">
        <v>49</v>
      </c>
      <c r="I85" s="10"/>
      <c r="J85" s="10"/>
      <c r="K85" s="10"/>
      <c r="L85" s="10"/>
      <c r="M85" s="11" t="str">
        <f>IF(COUNTA(E85,I85)=0,"",(IF(E85="",0,E85*Config!$B$11)+IF(I85="",0,I85*Config!$B$12))/(IF(E85="",0,Config!$B$11)+IF(I85="",0,Config!$B$12)))</f>
        <v/>
      </c>
      <c r="N85" s="11" t="str">
        <f>IF(COUNTA(F85,J85)=0,"",(IF(F85="",0,F85*Config!$B$11)+IF(J85="",0,J85*Config!$B$12))/(IF(F85="",0,Config!$B$11)+IF(J85="",0,Config!$B$12)))</f>
        <v/>
      </c>
      <c r="O85" s="11" t="str">
        <f>IF(COUNTA(G85,K85)=0,"",(IF(G85="",0,G85*Config!$B$11)+IF(K85="",0,K85*Config!$B$12))/(IF(G85="",0,Config!$B$11)+IF(K85="",0,Config!$B$12)))</f>
        <v/>
      </c>
      <c r="P85" s="11">
        <f>IF(COUNTA(H85,L85)=0,"",((IF(H85="No",Config!$B$11,0)+IF(L85="No",Config!$B$12,0))/(IF(H85&lt;&gt;"",Config!$B$11,0)+IF(L85&lt;&gt;"",Config!$B$12,0)))*Config!$B$5)</f>
        <v>1</v>
      </c>
      <c r="Q85" s="12"/>
      <c r="R85" s="12"/>
      <c r="S85" s="10"/>
      <c r="T85" s="13">
        <f>IF(COUNT(M85:P85)=0,"",M85*Config!$B$2+N85*Config!$B$3+O85*Config!$B$4+P85)</f>
        <v>1</v>
      </c>
      <c r="U85" s="14" t="str">
        <f>IF(T85="","",IF(T85&gt;=Config!$B$7,"MUST SEE",IF(T85&gt;=Config!$B$8,"ALTO",IF(T85&gt;=Config!$B$9,"VALUTA","SKIP"))))</f>
        <v>SKIP</v>
      </c>
      <c r="V85" s="14" t="str">
        <f>IF(T85="","",IF(T85&gt;=Config!$B$9,"SI","NO"))</f>
        <v>NO</v>
      </c>
      <c r="W85" s="14" t="str">
        <f t="shared" si="1"/>
        <v/>
      </c>
      <c r="X85" s="14">
        <f t="shared" si="2"/>
        <v>11</v>
      </c>
      <c r="Z85" s="14" t="s">
        <v>41</v>
      </c>
      <c r="AA85" s="14" t="s">
        <v>42</v>
      </c>
    </row>
    <row r="86" ht="15.75" customHeight="1">
      <c r="A86" s="9">
        <v>46178.0</v>
      </c>
      <c r="B86" s="10" t="s">
        <v>97</v>
      </c>
      <c r="C86" s="10" t="s">
        <v>47</v>
      </c>
      <c r="D86" s="10" t="s">
        <v>131</v>
      </c>
      <c r="E86" s="10"/>
      <c r="F86" s="10"/>
      <c r="G86" s="10"/>
      <c r="H86" s="15" t="s">
        <v>49</v>
      </c>
      <c r="I86" s="10"/>
      <c r="J86" s="10"/>
      <c r="K86" s="10"/>
      <c r="L86" s="10"/>
      <c r="M86" s="11" t="str">
        <f>IF(COUNTA(E86,I86)=0,"",(IF(E86="",0,E86*Config!$B$11)+IF(I86="",0,I86*Config!$B$12))/(IF(E86="",0,Config!$B$11)+IF(I86="",0,Config!$B$12)))</f>
        <v/>
      </c>
      <c r="N86" s="11" t="str">
        <f>IF(COUNTA(F86,J86)=0,"",(IF(F86="",0,F86*Config!$B$11)+IF(J86="",0,J86*Config!$B$12))/(IF(F86="",0,Config!$B$11)+IF(J86="",0,Config!$B$12)))</f>
        <v/>
      </c>
      <c r="O86" s="11" t="str">
        <f>IF(COUNTA(G86,K86)=0,"",(IF(G86="",0,G86*Config!$B$11)+IF(K86="",0,K86*Config!$B$12))/(IF(G86="",0,Config!$B$11)+IF(K86="",0,Config!$B$12)))</f>
        <v/>
      </c>
      <c r="P86" s="11">
        <f>IF(COUNTA(H86,L86)=0,"",((IF(H86="No",Config!$B$11,0)+IF(L86="No",Config!$B$12,0))/(IF(H86&lt;&gt;"",Config!$B$11,0)+IF(L86&lt;&gt;"",Config!$B$12,0)))*Config!$B$5)</f>
        <v>1</v>
      </c>
      <c r="Q86" s="12"/>
      <c r="R86" s="12"/>
      <c r="S86" s="10"/>
      <c r="T86" s="13">
        <f>IF(COUNT(M86:P86)=0,"",M86*Config!$B$2+N86*Config!$B$3+O86*Config!$B$4+P86)</f>
        <v>1</v>
      </c>
      <c r="U86" s="14" t="str">
        <f>IF(T86="","",IF(T86&gt;=Config!$B$7,"MUST SEE",IF(T86&gt;=Config!$B$8,"ALTO",IF(T86&gt;=Config!$B$9,"VALUTA","SKIP"))))</f>
        <v>SKIP</v>
      </c>
      <c r="V86" s="14" t="str">
        <f>IF(T86="","",IF(T86&gt;=Config!$B$9,"SI","NO"))</f>
        <v>NO</v>
      </c>
      <c r="W86" s="14" t="str">
        <f t="shared" si="1"/>
        <v/>
      </c>
      <c r="X86" s="14">
        <f t="shared" si="2"/>
        <v>11</v>
      </c>
      <c r="Z86" s="14" t="s">
        <v>41</v>
      </c>
      <c r="AA86" s="14" t="s">
        <v>42</v>
      </c>
    </row>
    <row r="87" ht="15.75" customHeight="1">
      <c r="A87" s="9">
        <v>46178.0</v>
      </c>
      <c r="B87" s="10" t="s">
        <v>97</v>
      </c>
      <c r="C87" s="10" t="s">
        <v>47</v>
      </c>
      <c r="D87" s="10" t="s">
        <v>132</v>
      </c>
      <c r="E87" s="10"/>
      <c r="F87" s="10"/>
      <c r="G87" s="10"/>
      <c r="H87" s="15" t="s">
        <v>49</v>
      </c>
      <c r="I87" s="10"/>
      <c r="J87" s="10"/>
      <c r="K87" s="10"/>
      <c r="L87" s="10"/>
      <c r="M87" s="11" t="str">
        <f>IF(COUNTA(E87,I87)=0,"",(IF(E87="",0,E87*Config!$B$11)+IF(I87="",0,I87*Config!$B$12))/(IF(E87="",0,Config!$B$11)+IF(I87="",0,Config!$B$12)))</f>
        <v/>
      </c>
      <c r="N87" s="11" t="str">
        <f>IF(COUNTA(F87,J87)=0,"",(IF(F87="",0,F87*Config!$B$11)+IF(J87="",0,J87*Config!$B$12))/(IF(F87="",0,Config!$B$11)+IF(J87="",0,Config!$B$12)))</f>
        <v/>
      </c>
      <c r="O87" s="11" t="str">
        <f>IF(COUNTA(G87,K87)=0,"",(IF(G87="",0,G87*Config!$B$11)+IF(K87="",0,K87*Config!$B$12))/(IF(G87="",0,Config!$B$11)+IF(K87="",0,Config!$B$12)))</f>
        <v/>
      </c>
      <c r="P87" s="11">
        <f>IF(COUNTA(H87,L87)=0,"",((IF(H87="No",Config!$B$11,0)+IF(L87="No",Config!$B$12,0))/(IF(H87&lt;&gt;"",Config!$B$11,0)+IF(L87&lt;&gt;"",Config!$B$12,0)))*Config!$B$5)</f>
        <v>1</v>
      </c>
      <c r="Q87" s="12"/>
      <c r="R87" s="12"/>
      <c r="S87" s="10"/>
      <c r="T87" s="13">
        <f>IF(COUNT(M87:P87)=0,"",M87*Config!$B$2+N87*Config!$B$3+O87*Config!$B$4+P87)</f>
        <v>1</v>
      </c>
      <c r="U87" s="14" t="str">
        <f>IF(T87="","",IF(T87&gt;=Config!$B$7,"MUST SEE",IF(T87&gt;=Config!$B$8,"ALTO",IF(T87&gt;=Config!$B$9,"VALUTA","SKIP"))))</f>
        <v>SKIP</v>
      </c>
      <c r="V87" s="14" t="str">
        <f>IF(T87="","",IF(T87&gt;=Config!$B$9,"SI","NO"))</f>
        <v>NO</v>
      </c>
      <c r="W87" s="14" t="str">
        <f t="shared" si="1"/>
        <v/>
      </c>
      <c r="X87" s="14">
        <f t="shared" si="2"/>
        <v>11</v>
      </c>
      <c r="Z87" s="14" t="s">
        <v>41</v>
      </c>
      <c r="AA87" s="14" t="s">
        <v>42</v>
      </c>
    </row>
    <row r="88" ht="15.75" customHeight="1">
      <c r="A88" s="9">
        <v>46178.0</v>
      </c>
      <c r="B88" s="10" t="s">
        <v>97</v>
      </c>
      <c r="C88" s="10" t="s">
        <v>47</v>
      </c>
      <c r="D88" s="10" t="s">
        <v>133</v>
      </c>
      <c r="E88" s="10"/>
      <c r="F88" s="10"/>
      <c r="G88" s="10"/>
      <c r="H88" s="15" t="s">
        <v>49</v>
      </c>
      <c r="I88" s="10"/>
      <c r="J88" s="10"/>
      <c r="K88" s="10"/>
      <c r="L88" s="10"/>
      <c r="M88" s="11" t="str">
        <f>IF(COUNTA(E88,I88)=0,"",(IF(E88="",0,E88*Config!$B$11)+IF(I88="",0,I88*Config!$B$12))/(IF(E88="",0,Config!$B$11)+IF(I88="",0,Config!$B$12)))</f>
        <v/>
      </c>
      <c r="N88" s="11" t="str">
        <f>IF(COUNTA(F88,J88)=0,"",(IF(F88="",0,F88*Config!$B$11)+IF(J88="",0,J88*Config!$B$12))/(IF(F88="",0,Config!$B$11)+IF(J88="",0,Config!$B$12)))</f>
        <v/>
      </c>
      <c r="O88" s="11" t="str">
        <f>IF(COUNTA(G88,K88)=0,"",(IF(G88="",0,G88*Config!$B$11)+IF(K88="",0,K88*Config!$B$12))/(IF(G88="",0,Config!$B$11)+IF(K88="",0,Config!$B$12)))</f>
        <v/>
      </c>
      <c r="P88" s="11">
        <f>IF(COUNTA(H88,L88)=0,"",((IF(H88="No",Config!$B$11,0)+IF(L88="No",Config!$B$12,0))/(IF(H88&lt;&gt;"",Config!$B$11,0)+IF(L88&lt;&gt;"",Config!$B$12,0)))*Config!$B$5)</f>
        <v>1</v>
      </c>
      <c r="Q88" s="12"/>
      <c r="R88" s="12"/>
      <c r="S88" s="10"/>
      <c r="T88" s="13">
        <f>IF(COUNT(M88:P88)=0,"",M88*Config!$B$2+N88*Config!$B$3+O88*Config!$B$4+P88)</f>
        <v>1</v>
      </c>
      <c r="U88" s="14" t="str">
        <f>IF(T88="","",IF(T88&gt;=Config!$B$7,"MUST SEE",IF(T88&gt;=Config!$B$8,"ALTO",IF(T88&gt;=Config!$B$9,"VALUTA","SKIP"))))</f>
        <v>SKIP</v>
      </c>
      <c r="V88" s="14" t="str">
        <f>IF(T88="","",IF(T88&gt;=Config!$B$9,"SI","NO"))</f>
        <v>NO</v>
      </c>
      <c r="W88" s="14" t="str">
        <f t="shared" si="1"/>
        <v/>
      </c>
      <c r="X88" s="14">
        <f t="shared" si="2"/>
        <v>11</v>
      </c>
      <c r="Z88" s="14" t="s">
        <v>41</v>
      </c>
      <c r="AA88" s="14" t="s">
        <v>42</v>
      </c>
    </row>
    <row r="89" ht="15.75" customHeight="1">
      <c r="A89" s="9">
        <v>46178.0</v>
      </c>
      <c r="B89" s="10" t="s">
        <v>97</v>
      </c>
      <c r="C89" s="10" t="s">
        <v>47</v>
      </c>
      <c r="D89" s="10" t="s">
        <v>134</v>
      </c>
      <c r="E89" s="10"/>
      <c r="F89" s="10"/>
      <c r="G89" s="10"/>
      <c r="H89" s="15" t="s">
        <v>49</v>
      </c>
      <c r="I89" s="10"/>
      <c r="J89" s="10"/>
      <c r="K89" s="10"/>
      <c r="L89" s="10"/>
      <c r="M89" s="11" t="str">
        <f>IF(COUNTA(E89,I89)=0,"",(IF(E89="",0,E89*Config!$B$11)+IF(I89="",0,I89*Config!$B$12))/(IF(E89="",0,Config!$B$11)+IF(I89="",0,Config!$B$12)))</f>
        <v/>
      </c>
      <c r="N89" s="11" t="str">
        <f>IF(COUNTA(F89,J89)=0,"",(IF(F89="",0,F89*Config!$B$11)+IF(J89="",0,J89*Config!$B$12))/(IF(F89="",0,Config!$B$11)+IF(J89="",0,Config!$B$12)))</f>
        <v/>
      </c>
      <c r="O89" s="11" t="str">
        <f>IF(COUNTA(G89,K89)=0,"",(IF(G89="",0,G89*Config!$B$11)+IF(K89="",0,K89*Config!$B$12))/(IF(G89="",0,Config!$B$11)+IF(K89="",0,Config!$B$12)))</f>
        <v/>
      </c>
      <c r="P89" s="11">
        <f>IF(COUNTA(H89,L89)=0,"",((IF(H89="No",Config!$B$11,0)+IF(L89="No",Config!$B$12,0))/(IF(H89&lt;&gt;"",Config!$B$11,0)+IF(L89&lt;&gt;"",Config!$B$12,0)))*Config!$B$5)</f>
        <v>1</v>
      </c>
      <c r="Q89" s="12"/>
      <c r="R89" s="12"/>
      <c r="S89" s="10"/>
      <c r="T89" s="13">
        <f>IF(COUNT(M89:P89)=0,"",M89*Config!$B$2+N89*Config!$B$3+O89*Config!$B$4+P89)</f>
        <v>1</v>
      </c>
      <c r="U89" s="14" t="str">
        <f>IF(T89="","",IF(T89&gt;=Config!$B$7,"MUST SEE",IF(T89&gt;=Config!$B$8,"ALTO",IF(T89&gt;=Config!$B$9,"VALUTA","SKIP"))))</f>
        <v>SKIP</v>
      </c>
      <c r="V89" s="14" t="str">
        <f>IF(T89="","",IF(T89&gt;=Config!$B$9,"SI","NO"))</f>
        <v>NO</v>
      </c>
      <c r="W89" s="14" t="str">
        <f t="shared" si="1"/>
        <v/>
      </c>
      <c r="X89" s="14">
        <f t="shared" si="2"/>
        <v>11</v>
      </c>
      <c r="Z89" s="14" t="s">
        <v>41</v>
      </c>
      <c r="AA89" s="14" t="s">
        <v>42</v>
      </c>
    </row>
    <row r="90" ht="15.75" customHeight="1">
      <c r="A90" s="9">
        <v>46178.0</v>
      </c>
      <c r="B90" s="10" t="s">
        <v>97</v>
      </c>
      <c r="C90" s="10" t="s">
        <v>47</v>
      </c>
      <c r="D90" s="10" t="s">
        <v>135</v>
      </c>
      <c r="E90" s="10"/>
      <c r="F90" s="10"/>
      <c r="G90" s="10"/>
      <c r="H90" s="15" t="s">
        <v>49</v>
      </c>
      <c r="I90" s="15">
        <v>1.0</v>
      </c>
      <c r="J90" s="15">
        <v>1.0</v>
      </c>
      <c r="K90" s="15">
        <v>1.0</v>
      </c>
      <c r="L90" s="15" t="s">
        <v>49</v>
      </c>
      <c r="M90" s="11">
        <f>IF(COUNTA(E90,I90)=0,"",(IF(E90="",0,E90*Config!$B$11)+IF(I90="",0,I90*Config!$B$12))/(IF(E90="",0,Config!$B$11)+IF(I90="",0,Config!$B$12)))</f>
        <v>1</v>
      </c>
      <c r="N90" s="11">
        <f>IF(COUNTA(F90,J90)=0,"",(IF(F90="",0,F90*Config!$B$11)+IF(J90="",0,J90*Config!$B$12))/(IF(F90="",0,Config!$B$11)+IF(J90="",0,Config!$B$12)))</f>
        <v>1</v>
      </c>
      <c r="O90" s="11">
        <f>IF(COUNTA(G90,K90)=0,"",(IF(G90="",0,G90*Config!$B$11)+IF(K90="",0,K90*Config!$B$12))/(IF(G90="",0,Config!$B$11)+IF(K90="",0,Config!$B$12)))</f>
        <v>1</v>
      </c>
      <c r="P90" s="11">
        <f>IF(COUNTA(H90,L90)=0,"",((IF(H90="No",Config!$B$11,0)+IF(L90="No",Config!$B$12,0))/(IF(H90&lt;&gt;"",Config!$B$11,0)+IF(L90&lt;&gt;"",Config!$B$12,0)))*Config!$B$5)</f>
        <v>1</v>
      </c>
      <c r="Q90" s="12"/>
      <c r="R90" s="12"/>
      <c r="S90" s="10"/>
      <c r="T90" s="13">
        <f>IF(COUNT(M90:P90)=0,"",M90*Config!$B$2+N90*Config!$B$3+O90*Config!$B$4+P90)</f>
        <v>6</v>
      </c>
      <c r="U90" s="14" t="str">
        <f>IF(T90="","",IF(T90&gt;=Config!$B$7,"MUST SEE",IF(T90&gt;=Config!$B$8,"ALTO",IF(T90&gt;=Config!$B$9,"VALUTA","SKIP"))))</f>
        <v>SKIP</v>
      </c>
      <c r="V90" s="14" t="str">
        <f>IF(T90="","",IF(T90&gt;=Config!$B$9,"SI","NO"))</f>
        <v>NO</v>
      </c>
      <c r="W90" s="14" t="str">
        <f t="shared" si="1"/>
        <v/>
      </c>
      <c r="X90" s="14">
        <f t="shared" si="2"/>
        <v>10</v>
      </c>
      <c r="Z90" s="14" t="s">
        <v>41</v>
      </c>
      <c r="AA90" s="14" t="s">
        <v>42</v>
      </c>
    </row>
    <row r="91" ht="15.75" customHeight="1">
      <c r="A91" s="9">
        <v>46178.0</v>
      </c>
      <c r="B91" s="10" t="s">
        <v>97</v>
      </c>
      <c r="C91" s="10" t="s">
        <v>47</v>
      </c>
      <c r="D91" s="10" t="s">
        <v>136</v>
      </c>
      <c r="E91" s="10"/>
      <c r="F91" s="10"/>
      <c r="G91" s="10"/>
      <c r="H91" s="15" t="s">
        <v>49</v>
      </c>
      <c r="I91" s="10"/>
      <c r="J91" s="10"/>
      <c r="K91" s="10"/>
      <c r="L91" s="10"/>
      <c r="M91" s="11" t="str">
        <f>IF(COUNTA(E91,I91)=0,"",(IF(E91="",0,E91*Config!$B$11)+IF(I91="",0,I91*Config!$B$12))/(IF(E91="",0,Config!$B$11)+IF(I91="",0,Config!$B$12)))</f>
        <v/>
      </c>
      <c r="N91" s="11" t="str">
        <f>IF(COUNTA(F91,J91)=0,"",(IF(F91="",0,F91*Config!$B$11)+IF(J91="",0,J91*Config!$B$12))/(IF(F91="",0,Config!$B$11)+IF(J91="",0,Config!$B$12)))</f>
        <v/>
      </c>
      <c r="O91" s="11" t="str">
        <f>IF(COUNTA(G91,K91)=0,"",(IF(G91="",0,G91*Config!$B$11)+IF(K91="",0,K91*Config!$B$12))/(IF(G91="",0,Config!$B$11)+IF(K91="",0,Config!$B$12)))</f>
        <v/>
      </c>
      <c r="P91" s="11">
        <f>IF(COUNTA(H91,L91)=0,"",((IF(H91="No",Config!$B$11,0)+IF(L91="No",Config!$B$12,0))/(IF(H91&lt;&gt;"",Config!$B$11,0)+IF(L91&lt;&gt;"",Config!$B$12,0)))*Config!$B$5)</f>
        <v>1</v>
      </c>
      <c r="Q91" s="12"/>
      <c r="R91" s="12"/>
      <c r="S91" s="10"/>
      <c r="T91" s="13">
        <f>IF(COUNT(M91:P91)=0,"",M91*Config!$B$2+N91*Config!$B$3+O91*Config!$B$4+P91)</f>
        <v>1</v>
      </c>
      <c r="U91" s="14" t="str">
        <f>IF(T91="","",IF(T91&gt;=Config!$B$7,"MUST SEE",IF(T91&gt;=Config!$B$8,"ALTO",IF(T91&gt;=Config!$B$9,"VALUTA","SKIP"))))</f>
        <v>SKIP</v>
      </c>
      <c r="V91" s="14" t="str">
        <f>IF(T91="","",IF(T91&gt;=Config!$B$9,"SI","NO"))</f>
        <v>NO</v>
      </c>
      <c r="W91" s="14" t="str">
        <f t="shared" si="1"/>
        <v/>
      </c>
      <c r="X91" s="14">
        <f t="shared" si="2"/>
        <v>11</v>
      </c>
      <c r="Z91" s="14" t="s">
        <v>41</v>
      </c>
      <c r="AA91" s="14" t="s">
        <v>42</v>
      </c>
    </row>
    <row r="92" ht="15.75" customHeight="1">
      <c r="A92" s="9">
        <v>46178.0</v>
      </c>
      <c r="B92" s="10" t="s">
        <v>97</v>
      </c>
      <c r="C92" s="10" t="s">
        <v>47</v>
      </c>
      <c r="D92" s="10" t="s">
        <v>137</v>
      </c>
      <c r="E92" s="15">
        <v>7.0</v>
      </c>
      <c r="F92" s="15">
        <v>4.0</v>
      </c>
      <c r="G92" s="15">
        <v>4.0</v>
      </c>
      <c r="H92" s="15" t="s">
        <v>49</v>
      </c>
      <c r="I92" s="15">
        <v>8.0</v>
      </c>
      <c r="J92" s="15">
        <v>4.0</v>
      </c>
      <c r="K92" s="15">
        <v>4.0</v>
      </c>
      <c r="L92" s="15" t="s">
        <v>49</v>
      </c>
      <c r="M92" s="11">
        <f>IF(COUNTA(E92,I92)=0,"",(IF(E92="",0,E92*Config!$B$11)+IF(I92="",0,I92*Config!$B$12))/(IF(E92="",0,Config!$B$11)+IF(I92="",0,Config!$B$12)))</f>
        <v>7.5</v>
      </c>
      <c r="N92" s="11">
        <f>IF(COUNTA(F92,J92)=0,"",(IF(F92="",0,F92*Config!$B$11)+IF(J92="",0,J92*Config!$B$12))/(IF(F92="",0,Config!$B$11)+IF(J92="",0,Config!$B$12)))</f>
        <v>4</v>
      </c>
      <c r="O92" s="11">
        <f>IF(COUNTA(G92,K92)=0,"",(IF(G92="",0,G92*Config!$B$11)+IF(K92="",0,K92*Config!$B$12))/(IF(G92="",0,Config!$B$11)+IF(K92="",0,Config!$B$12)))</f>
        <v>4</v>
      </c>
      <c r="P92" s="11">
        <f>IF(COUNTA(H92,L92)=0,"",((IF(H92="No",Config!$B$11,0)+IF(L92="No",Config!$B$12,0))/(IF(H92&lt;&gt;"",Config!$B$11,0)+IF(L92&lt;&gt;"",Config!$B$12,0)))*Config!$B$5)</f>
        <v>1</v>
      </c>
      <c r="Q92" s="12"/>
      <c r="R92" s="12"/>
      <c r="S92" s="10"/>
      <c r="T92" s="13">
        <f>IF(COUNT(M92:P92)=0,"",M92*Config!$B$2+N92*Config!$B$3+O92*Config!$B$4+P92)</f>
        <v>28</v>
      </c>
      <c r="U92" s="14" t="str">
        <f>IF(T92="","",IF(T92&gt;=Config!$B$7,"MUST SEE",IF(T92&gt;=Config!$B$8,"ALTO",IF(T92&gt;=Config!$B$9,"VALUTA","SKIP"))))</f>
        <v>MUST SEE</v>
      </c>
      <c r="V92" s="14" t="str">
        <f>IF(T92="","",IF(T92&gt;=Config!$B$9,"SI","NO"))</f>
        <v>SI</v>
      </c>
      <c r="W92" s="14" t="str">
        <f t="shared" si="1"/>
        <v/>
      </c>
      <c r="X92" s="14">
        <f t="shared" si="2"/>
        <v>1</v>
      </c>
      <c r="Z92" s="14" t="s">
        <v>41</v>
      </c>
      <c r="AA92" s="14" t="s">
        <v>42</v>
      </c>
    </row>
    <row r="93" ht="15.75" customHeight="1">
      <c r="A93" s="9">
        <v>46178.0</v>
      </c>
      <c r="B93" s="10" t="s">
        <v>97</v>
      </c>
      <c r="C93" s="10" t="s">
        <v>47</v>
      </c>
      <c r="D93" s="10" t="s">
        <v>138</v>
      </c>
      <c r="E93" s="10"/>
      <c r="F93" s="10"/>
      <c r="G93" s="10"/>
      <c r="H93" s="15" t="s">
        <v>49</v>
      </c>
      <c r="I93" s="15">
        <v>7.0</v>
      </c>
      <c r="J93" s="15">
        <v>2.0</v>
      </c>
      <c r="K93" s="15">
        <v>3.0</v>
      </c>
      <c r="L93" s="15" t="s">
        <v>55</v>
      </c>
      <c r="M93" s="11">
        <f>IF(COUNTA(E93,I93)=0,"",(IF(E93="",0,E93*Config!$B$11)+IF(I93="",0,I93*Config!$B$12))/(IF(E93="",0,Config!$B$11)+IF(I93="",0,Config!$B$12)))</f>
        <v>7</v>
      </c>
      <c r="N93" s="11">
        <f>IF(COUNTA(F93,J93)=0,"",(IF(F93="",0,F93*Config!$B$11)+IF(J93="",0,J93*Config!$B$12))/(IF(F93="",0,Config!$B$11)+IF(J93="",0,Config!$B$12)))</f>
        <v>2</v>
      </c>
      <c r="O93" s="11">
        <f>IF(COUNTA(G93,K93)=0,"",(IF(G93="",0,G93*Config!$B$11)+IF(K93="",0,K93*Config!$B$12))/(IF(G93="",0,Config!$B$11)+IF(K93="",0,Config!$B$12)))</f>
        <v>3</v>
      </c>
      <c r="P93" s="11">
        <f>IF(COUNTA(H93,L93)=0,"",((IF(H93="No",Config!$B$11,0)+IF(L93="No",Config!$B$12,0))/(IF(H93&lt;&gt;"",Config!$B$11,0)+IF(L93&lt;&gt;"",Config!$B$12,0)))*Config!$B$5)</f>
        <v>0.5</v>
      </c>
      <c r="Q93" s="12"/>
      <c r="R93" s="12"/>
      <c r="S93" s="10"/>
      <c r="T93" s="13">
        <f>IF(COUNT(M93:P93)=0,"",M93*Config!$B$2+N93*Config!$B$3+O93*Config!$B$4+P93)</f>
        <v>21.5</v>
      </c>
      <c r="U93" s="14" t="str">
        <f>IF(T93="","",IF(T93&gt;=Config!$B$7,"MUST SEE",IF(T93&gt;=Config!$B$8,"ALTO",IF(T93&gt;=Config!$B$9,"VALUTA","SKIP"))))</f>
        <v>ALTO</v>
      </c>
      <c r="V93" s="14" t="str">
        <f>IF(T93="","",IF(T93&gt;=Config!$B$9,"SI","NO"))</f>
        <v>SI</v>
      </c>
      <c r="W93" s="14" t="str">
        <f t="shared" si="1"/>
        <v/>
      </c>
      <c r="X93" s="14">
        <f t="shared" si="2"/>
        <v>6</v>
      </c>
      <c r="Z93" s="14" t="s">
        <v>41</v>
      </c>
      <c r="AA93" s="14" t="s">
        <v>42</v>
      </c>
    </row>
    <row r="94" ht="15.75" customHeight="1">
      <c r="A94" s="9">
        <v>46178.0</v>
      </c>
      <c r="B94" s="10" t="s">
        <v>97</v>
      </c>
      <c r="C94" s="10" t="s">
        <v>47</v>
      </c>
      <c r="D94" s="10" t="s">
        <v>139</v>
      </c>
      <c r="E94" s="10"/>
      <c r="F94" s="10"/>
      <c r="G94" s="10"/>
      <c r="H94" s="15" t="s">
        <v>49</v>
      </c>
      <c r="I94" s="10"/>
      <c r="J94" s="10"/>
      <c r="K94" s="10"/>
      <c r="L94" s="10"/>
      <c r="M94" s="11" t="str">
        <f>IF(COUNTA(E94,I94)=0,"",(IF(E94="",0,E94*Config!$B$11)+IF(I94="",0,I94*Config!$B$12))/(IF(E94="",0,Config!$B$11)+IF(I94="",0,Config!$B$12)))</f>
        <v/>
      </c>
      <c r="N94" s="11" t="str">
        <f>IF(COUNTA(F94,J94)=0,"",(IF(F94="",0,F94*Config!$B$11)+IF(J94="",0,J94*Config!$B$12))/(IF(F94="",0,Config!$B$11)+IF(J94="",0,Config!$B$12)))</f>
        <v/>
      </c>
      <c r="O94" s="11" t="str">
        <f>IF(COUNTA(G94,K94)=0,"",(IF(G94="",0,G94*Config!$B$11)+IF(K94="",0,K94*Config!$B$12))/(IF(G94="",0,Config!$B$11)+IF(K94="",0,Config!$B$12)))</f>
        <v/>
      </c>
      <c r="P94" s="11">
        <f>IF(COUNTA(H94,L94)=0,"",((IF(H94="No",Config!$B$11,0)+IF(L94="No",Config!$B$12,0))/(IF(H94&lt;&gt;"",Config!$B$11,0)+IF(L94&lt;&gt;"",Config!$B$12,0)))*Config!$B$5)</f>
        <v>1</v>
      </c>
      <c r="Q94" s="12"/>
      <c r="R94" s="12"/>
      <c r="S94" s="10"/>
      <c r="T94" s="13">
        <f>IF(COUNT(M94:P94)=0,"",M94*Config!$B$2+N94*Config!$B$3+O94*Config!$B$4+P94)</f>
        <v>1</v>
      </c>
      <c r="U94" s="14" t="str">
        <f>IF(T94="","",IF(T94&gt;=Config!$B$7,"MUST SEE",IF(T94&gt;=Config!$B$8,"ALTO",IF(T94&gt;=Config!$B$9,"VALUTA","SKIP"))))</f>
        <v>SKIP</v>
      </c>
      <c r="V94" s="14" t="str">
        <f>IF(T94="","",IF(T94&gt;=Config!$B$9,"SI","NO"))</f>
        <v>NO</v>
      </c>
      <c r="W94" s="14" t="str">
        <f t="shared" si="1"/>
        <v/>
      </c>
      <c r="X94" s="14">
        <f t="shared" si="2"/>
        <v>11</v>
      </c>
      <c r="Z94" s="14" t="s">
        <v>41</v>
      </c>
      <c r="AA94" s="14" t="s">
        <v>42</v>
      </c>
    </row>
    <row r="95" ht="15.75" customHeight="1">
      <c r="A95" s="9">
        <v>46178.0</v>
      </c>
      <c r="B95" s="10" t="s">
        <v>97</v>
      </c>
      <c r="C95" s="10" t="s">
        <v>47</v>
      </c>
      <c r="D95" s="10" t="s">
        <v>140</v>
      </c>
      <c r="E95" s="10"/>
      <c r="F95" s="10"/>
      <c r="G95" s="10"/>
      <c r="H95" s="15" t="s">
        <v>49</v>
      </c>
      <c r="I95" s="10"/>
      <c r="J95" s="10"/>
      <c r="K95" s="10"/>
      <c r="L95" s="10"/>
      <c r="M95" s="11" t="str">
        <f>IF(COUNTA(E95,I95)=0,"",(IF(E95="",0,E95*Config!$B$11)+IF(I95="",0,I95*Config!$B$12))/(IF(E95="",0,Config!$B$11)+IF(I95="",0,Config!$B$12)))</f>
        <v/>
      </c>
      <c r="N95" s="11" t="str">
        <f>IF(COUNTA(F95,J95)=0,"",(IF(F95="",0,F95*Config!$B$11)+IF(J95="",0,J95*Config!$B$12))/(IF(F95="",0,Config!$B$11)+IF(J95="",0,Config!$B$12)))</f>
        <v/>
      </c>
      <c r="O95" s="11" t="str">
        <f>IF(COUNTA(G95,K95)=0,"",(IF(G95="",0,G95*Config!$B$11)+IF(K95="",0,K95*Config!$B$12))/(IF(G95="",0,Config!$B$11)+IF(K95="",0,Config!$B$12)))</f>
        <v/>
      </c>
      <c r="P95" s="11">
        <f>IF(COUNTA(H95,L95)=0,"",((IF(H95="No",Config!$B$11,0)+IF(L95="No",Config!$B$12,0))/(IF(H95&lt;&gt;"",Config!$B$11,0)+IF(L95&lt;&gt;"",Config!$B$12,0)))*Config!$B$5)</f>
        <v>1</v>
      </c>
      <c r="Q95" s="12"/>
      <c r="R95" s="12"/>
      <c r="S95" s="10"/>
      <c r="T95" s="13">
        <f>IF(COUNT(M95:P95)=0,"",M95*Config!$B$2+N95*Config!$B$3+O95*Config!$B$4+P95)</f>
        <v>1</v>
      </c>
      <c r="U95" s="14" t="str">
        <f>IF(T95="","",IF(T95&gt;=Config!$B$7,"MUST SEE",IF(T95&gt;=Config!$B$8,"ALTO",IF(T95&gt;=Config!$B$9,"VALUTA","SKIP"))))</f>
        <v>SKIP</v>
      </c>
      <c r="V95" s="14" t="str">
        <f>IF(T95="","",IF(T95&gt;=Config!$B$9,"SI","NO"))</f>
        <v>NO</v>
      </c>
      <c r="W95" s="14" t="str">
        <f t="shared" si="1"/>
        <v/>
      </c>
      <c r="X95" s="14">
        <f t="shared" si="2"/>
        <v>11</v>
      </c>
      <c r="Z95" s="14" t="s">
        <v>41</v>
      </c>
      <c r="AA95" s="14" t="s">
        <v>42</v>
      </c>
    </row>
    <row r="96" ht="15.75" customHeight="1">
      <c r="A96" s="9">
        <v>46178.0</v>
      </c>
      <c r="B96" s="10" t="s">
        <v>97</v>
      </c>
      <c r="C96" s="10" t="s">
        <v>47</v>
      </c>
      <c r="D96" s="10" t="s">
        <v>141</v>
      </c>
      <c r="E96" s="10"/>
      <c r="F96" s="10"/>
      <c r="G96" s="10"/>
      <c r="H96" s="15" t="s">
        <v>49</v>
      </c>
      <c r="I96" s="15">
        <v>8.0</v>
      </c>
      <c r="J96" s="15">
        <v>2.0</v>
      </c>
      <c r="K96" s="15">
        <v>4.0</v>
      </c>
      <c r="L96" s="15" t="s">
        <v>49</v>
      </c>
      <c r="M96" s="11">
        <f>IF(COUNTA(E96,I96)=0,"",(IF(E96="",0,E96*Config!$B$11)+IF(I96="",0,I96*Config!$B$12))/(IF(E96="",0,Config!$B$11)+IF(I96="",0,Config!$B$12)))</f>
        <v>8</v>
      </c>
      <c r="N96" s="11">
        <f>IF(COUNTA(F96,J96)=0,"",(IF(F96="",0,F96*Config!$B$11)+IF(J96="",0,J96*Config!$B$12))/(IF(F96="",0,Config!$B$11)+IF(J96="",0,Config!$B$12)))</f>
        <v>2</v>
      </c>
      <c r="O96" s="11">
        <f>IF(COUNTA(G96,K96)=0,"",(IF(G96="",0,G96*Config!$B$11)+IF(K96="",0,K96*Config!$B$12))/(IF(G96="",0,Config!$B$11)+IF(K96="",0,Config!$B$12)))</f>
        <v>4</v>
      </c>
      <c r="P96" s="11">
        <f>IF(COUNTA(H96,L96)=0,"",((IF(H96="No",Config!$B$11,0)+IF(L96="No",Config!$B$12,0))/(IF(H96&lt;&gt;"",Config!$B$11,0)+IF(L96&lt;&gt;"",Config!$B$12,0)))*Config!$B$5)</f>
        <v>1</v>
      </c>
      <c r="Q96" s="12"/>
      <c r="R96" s="12"/>
      <c r="S96" s="10"/>
      <c r="T96" s="13">
        <f>IF(COUNT(M96:P96)=0,"",M96*Config!$B$2+N96*Config!$B$3+O96*Config!$B$4+P96)</f>
        <v>25</v>
      </c>
      <c r="U96" s="14" t="str">
        <f>IF(T96="","",IF(T96&gt;=Config!$B$7,"MUST SEE",IF(T96&gt;=Config!$B$8,"ALTO",IF(T96&gt;=Config!$B$9,"VALUTA","SKIP"))))</f>
        <v>MUST SEE</v>
      </c>
      <c r="V96" s="14" t="str">
        <f>IF(T96="","",IF(T96&gt;=Config!$B$9,"SI","NO"))</f>
        <v>SI</v>
      </c>
      <c r="W96" s="14" t="str">
        <f t="shared" si="1"/>
        <v/>
      </c>
      <c r="X96" s="14">
        <f t="shared" si="2"/>
        <v>3</v>
      </c>
      <c r="Z96" s="14" t="s">
        <v>41</v>
      </c>
      <c r="AA96" s="14" t="s">
        <v>42</v>
      </c>
    </row>
    <row r="97" ht="15.75" customHeight="1">
      <c r="A97" s="9">
        <v>46178.0</v>
      </c>
      <c r="B97" s="10" t="s">
        <v>97</v>
      </c>
      <c r="C97" s="10" t="s">
        <v>47</v>
      </c>
      <c r="D97" s="10" t="s">
        <v>142</v>
      </c>
      <c r="E97" s="10"/>
      <c r="F97" s="10"/>
      <c r="G97" s="10"/>
      <c r="H97" s="15" t="s">
        <v>49</v>
      </c>
      <c r="I97" s="15">
        <v>7.0</v>
      </c>
      <c r="J97" s="15">
        <v>2.0</v>
      </c>
      <c r="K97" s="15">
        <v>4.0</v>
      </c>
      <c r="L97" s="15" t="s">
        <v>49</v>
      </c>
      <c r="M97" s="11">
        <f>IF(COUNTA(E97,I97)=0,"",(IF(E97="",0,E97*Config!$B$11)+IF(I97="",0,I97*Config!$B$12))/(IF(E97="",0,Config!$B$11)+IF(I97="",0,Config!$B$12)))</f>
        <v>7</v>
      </c>
      <c r="N97" s="11">
        <f>IF(COUNTA(F97,J97)=0,"",(IF(F97="",0,F97*Config!$B$11)+IF(J97="",0,J97*Config!$B$12))/(IF(F97="",0,Config!$B$11)+IF(J97="",0,Config!$B$12)))</f>
        <v>2</v>
      </c>
      <c r="O97" s="11">
        <f>IF(COUNTA(G97,K97)=0,"",(IF(G97="",0,G97*Config!$B$11)+IF(K97="",0,K97*Config!$B$12))/(IF(G97="",0,Config!$B$11)+IF(K97="",0,Config!$B$12)))</f>
        <v>4</v>
      </c>
      <c r="P97" s="11">
        <f>IF(COUNTA(H97,L97)=0,"",((IF(H97="No",Config!$B$11,0)+IF(L97="No",Config!$B$12,0))/(IF(H97&lt;&gt;"",Config!$B$11,0)+IF(L97&lt;&gt;"",Config!$B$12,0)))*Config!$B$5)</f>
        <v>1</v>
      </c>
      <c r="Q97" s="12"/>
      <c r="R97" s="12"/>
      <c r="S97" s="10"/>
      <c r="T97" s="13">
        <f>IF(COUNT(M97:P97)=0,"",M97*Config!$B$2+N97*Config!$B$3+O97*Config!$B$4+P97)</f>
        <v>23</v>
      </c>
      <c r="U97" s="14" t="str">
        <f>IF(T97="","",IF(T97&gt;=Config!$B$7,"MUST SEE",IF(T97&gt;=Config!$B$8,"ALTO",IF(T97&gt;=Config!$B$9,"VALUTA","SKIP"))))</f>
        <v>ALTO</v>
      </c>
      <c r="V97" s="14" t="str">
        <f>IF(T97="","",IF(T97&gt;=Config!$B$9,"SI","NO"))</f>
        <v>SI</v>
      </c>
      <c r="W97" s="14" t="str">
        <f t="shared" si="1"/>
        <v/>
      </c>
      <c r="X97" s="14">
        <f t="shared" si="2"/>
        <v>4</v>
      </c>
      <c r="Z97" s="14" t="s">
        <v>41</v>
      </c>
      <c r="AA97" s="14" t="s">
        <v>42</v>
      </c>
    </row>
    <row r="98" ht="15.75" customHeight="1">
      <c r="A98" s="9">
        <v>46178.0</v>
      </c>
      <c r="B98" s="10" t="s">
        <v>97</v>
      </c>
      <c r="C98" s="10" t="s">
        <v>47</v>
      </c>
      <c r="D98" s="10" t="s">
        <v>143</v>
      </c>
      <c r="E98" s="10"/>
      <c r="F98" s="10"/>
      <c r="G98" s="10"/>
      <c r="H98" s="15" t="s">
        <v>49</v>
      </c>
      <c r="I98" s="15">
        <v>8.0</v>
      </c>
      <c r="J98" s="15">
        <v>4.0</v>
      </c>
      <c r="K98" s="15">
        <v>3.0</v>
      </c>
      <c r="L98" s="15" t="s">
        <v>49</v>
      </c>
      <c r="M98" s="11">
        <f>IF(COUNTA(E98,I98)=0,"",(IF(E98="",0,E98*Config!$B$11)+IF(I98="",0,I98*Config!$B$12))/(IF(E98="",0,Config!$B$11)+IF(I98="",0,Config!$B$12)))</f>
        <v>8</v>
      </c>
      <c r="N98" s="11">
        <f>IF(COUNTA(F98,J98)=0,"",(IF(F98="",0,F98*Config!$B$11)+IF(J98="",0,J98*Config!$B$12))/(IF(F98="",0,Config!$B$11)+IF(J98="",0,Config!$B$12)))</f>
        <v>4</v>
      </c>
      <c r="O98" s="11">
        <f>IF(COUNTA(G98,K98)=0,"",(IF(G98="",0,G98*Config!$B$11)+IF(K98="",0,K98*Config!$B$12))/(IF(G98="",0,Config!$B$11)+IF(K98="",0,Config!$B$12)))</f>
        <v>3</v>
      </c>
      <c r="P98" s="11">
        <f>IF(COUNTA(H98,L98)=0,"",((IF(H98="No",Config!$B$11,0)+IF(L98="No",Config!$B$12,0))/(IF(H98&lt;&gt;"",Config!$B$11,0)+IF(L98&lt;&gt;"",Config!$B$12,0)))*Config!$B$5)</f>
        <v>1</v>
      </c>
      <c r="Q98" s="12"/>
      <c r="R98" s="12"/>
      <c r="S98" s="10"/>
      <c r="T98" s="13">
        <f>IF(COUNT(M98:P98)=0,"",M98*Config!$B$2+N98*Config!$B$3+O98*Config!$B$4+P98)</f>
        <v>28</v>
      </c>
      <c r="U98" s="14" t="str">
        <f>IF(T98="","",IF(T98&gt;=Config!$B$7,"MUST SEE",IF(T98&gt;=Config!$B$8,"ALTO",IF(T98&gt;=Config!$B$9,"VALUTA","SKIP"))))</f>
        <v>MUST SEE</v>
      </c>
      <c r="V98" s="14" t="str">
        <f>IF(T98="","",IF(T98&gt;=Config!$B$9,"SI","NO"))</f>
        <v>SI</v>
      </c>
      <c r="W98" s="14" t="str">
        <f t="shared" si="1"/>
        <v/>
      </c>
      <c r="X98" s="14">
        <f t="shared" si="2"/>
        <v>1</v>
      </c>
      <c r="Z98" s="14" t="s">
        <v>41</v>
      </c>
      <c r="AA98" s="14" t="s">
        <v>42</v>
      </c>
    </row>
    <row r="99" ht="15.75" customHeight="1">
      <c r="A99" s="9">
        <v>46178.0</v>
      </c>
      <c r="B99" s="10" t="s">
        <v>97</v>
      </c>
      <c r="C99" s="10" t="s">
        <v>47</v>
      </c>
      <c r="D99" s="10" t="s">
        <v>144</v>
      </c>
      <c r="E99" s="10"/>
      <c r="F99" s="10"/>
      <c r="G99" s="10"/>
      <c r="H99" s="15" t="s">
        <v>49</v>
      </c>
      <c r="I99" s="10"/>
      <c r="J99" s="10"/>
      <c r="K99" s="10"/>
      <c r="L99" s="10"/>
      <c r="M99" s="11" t="str">
        <f>IF(COUNTA(E99,I99)=0,"",(IF(E99="",0,E99*Config!$B$11)+IF(I99="",0,I99*Config!$B$12))/(IF(E99="",0,Config!$B$11)+IF(I99="",0,Config!$B$12)))</f>
        <v/>
      </c>
      <c r="N99" s="11" t="str">
        <f>IF(COUNTA(F99,J99)=0,"",(IF(F99="",0,F99*Config!$B$11)+IF(J99="",0,J99*Config!$B$12))/(IF(F99="",0,Config!$B$11)+IF(J99="",0,Config!$B$12)))</f>
        <v/>
      </c>
      <c r="O99" s="11" t="str">
        <f>IF(COUNTA(G99,K99)=0,"",(IF(G99="",0,G99*Config!$B$11)+IF(K99="",0,K99*Config!$B$12))/(IF(G99="",0,Config!$B$11)+IF(K99="",0,Config!$B$12)))</f>
        <v/>
      </c>
      <c r="P99" s="11">
        <f>IF(COUNTA(H99,L99)=0,"",((IF(H99="No",Config!$B$11,0)+IF(L99="No",Config!$B$12,0))/(IF(H99&lt;&gt;"",Config!$B$11,0)+IF(L99&lt;&gt;"",Config!$B$12,0)))*Config!$B$5)</f>
        <v>1</v>
      </c>
      <c r="Q99" s="12"/>
      <c r="R99" s="12"/>
      <c r="S99" s="10"/>
      <c r="T99" s="13">
        <f>IF(COUNT(M99:P99)=0,"",M99*Config!$B$2+N99*Config!$B$3+O99*Config!$B$4+P99)</f>
        <v>1</v>
      </c>
      <c r="U99" s="14" t="str">
        <f>IF(T99="","",IF(T99&gt;=Config!$B$7,"MUST SEE",IF(T99&gt;=Config!$B$8,"ALTO",IF(T99&gt;=Config!$B$9,"VALUTA","SKIP"))))</f>
        <v>SKIP</v>
      </c>
      <c r="V99" s="14" t="str">
        <f>IF(T99="","",IF(T99&gt;=Config!$B$9,"SI","NO"))</f>
        <v>NO</v>
      </c>
      <c r="W99" s="14" t="str">
        <f t="shared" si="1"/>
        <v/>
      </c>
      <c r="X99" s="14">
        <f t="shared" si="2"/>
        <v>11</v>
      </c>
      <c r="Z99" s="14" t="s">
        <v>41</v>
      </c>
      <c r="AA99" s="14" t="s">
        <v>42</v>
      </c>
    </row>
    <row r="100" ht="15.75" customHeight="1">
      <c r="A100" s="9">
        <v>46179.0</v>
      </c>
      <c r="B100" s="10" t="s">
        <v>145</v>
      </c>
      <c r="C100" s="10" t="s">
        <v>47</v>
      </c>
      <c r="D100" s="10" t="s">
        <v>146</v>
      </c>
      <c r="E100" s="10"/>
      <c r="F100" s="10"/>
      <c r="G100" s="10"/>
      <c r="H100" s="10"/>
      <c r="I100" s="15">
        <v>8.0</v>
      </c>
      <c r="J100" s="15">
        <v>3.0</v>
      </c>
      <c r="K100" s="15">
        <v>4.0</v>
      </c>
      <c r="L100" s="15" t="s">
        <v>49</v>
      </c>
      <c r="M100" s="11">
        <f>IF(COUNTA(E100,I100)=0,"",(IF(E100="",0,E100*Config!$B$11)+IF(I100="",0,I100*Config!$B$12))/(IF(E100="",0,Config!$B$11)+IF(I100="",0,Config!$B$12)))</f>
        <v>8</v>
      </c>
      <c r="N100" s="11">
        <f>IF(COUNTA(F100,J100)=0,"",(IF(F100="",0,F100*Config!$B$11)+IF(J100="",0,J100*Config!$B$12))/(IF(F100="",0,Config!$B$11)+IF(J100="",0,Config!$B$12)))</f>
        <v>3</v>
      </c>
      <c r="O100" s="11">
        <f>IF(COUNTA(G100,K100)=0,"",(IF(G100="",0,G100*Config!$B$11)+IF(K100="",0,K100*Config!$B$12))/(IF(G100="",0,Config!$B$11)+IF(K100="",0,Config!$B$12)))</f>
        <v>4</v>
      </c>
      <c r="P100" s="11">
        <f>IF(COUNTA(H100,L100)=0,"",((IF(H100="No",Config!$B$11,0)+IF(L100="No",Config!$B$12,0))/(IF(H100&lt;&gt;"",Config!$B$11,0)+IF(L100&lt;&gt;"",Config!$B$12,0)))*Config!$B$5)</f>
        <v>1</v>
      </c>
      <c r="Q100" s="12"/>
      <c r="R100" s="12"/>
      <c r="S100" s="10"/>
      <c r="T100" s="13">
        <f>IF(COUNT(M100:P100)=0,"",M100*Config!$B$2+N100*Config!$B$3+O100*Config!$B$4+P100)</f>
        <v>27</v>
      </c>
      <c r="U100" s="14" t="str">
        <f>IF(T100="","",IF(T100&gt;=Config!$B$7,"MUST SEE",IF(T100&gt;=Config!$B$8,"ALTO",IF(T100&gt;=Config!$B$9,"VALUTA","SKIP"))))</f>
        <v>MUST SEE</v>
      </c>
      <c r="V100" s="14" t="str">
        <f>IF(T100="","",IF(T100&gt;=Config!$B$9,"SI","NO"))</f>
        <v>SI</v>
      </c>
      <c r="W100" s="14" t="str">
        <f t="shared" si="1"/>
        <v/>
      </c>
      <c r="X100" s="14">
        <f t="shared" si="2"/>
        <v>7</v>
      </c>
      <c r="Z100" s="14" t="s">
        <v>41</v>
      </c>
      <c r="AA100" s="14" t="s">
        <v>42</v>
      </c>
    </row>
    <row r="101" ht="15.75" customHeight="1">
      <c r="A101" s="9">
        <v>46179.0</v>
      </c>
      <c r="B101" s="10" t="s">
        <v>145</v>
      </c>
      <c r="C101" s="10" t="s">
        <v>47</v>
      </c>
      <c r="D101" s="10" t="s">
        <v>147</v>
      </c>
      <c r="E101" s="10"/>
      <c r="F101" s="10"/>
      <c r="G101" s="10"/>
      <c r="H101" s="10"/>
      <c r="I101" s="10"/>
      <c r="J101" s="10"/>
      <c r="K101" s="10"/>
      <c r="L101" s="10"/>
      <c r="M101" s="11" t="str">
        <f>IF(COUNTA(E101,I101)=0,"",(IF(E101="",0,E101*Config!$B$11)+IF(I101="",0,I101*Config!$B$12))/(IF(E101="",0,Config!$B$11)+IF(I101="",0,Config!$B$12)))</f>
        <v/>
      </c>
      <c r="N101" s="11" t="str">
        <f>IF(COUNTA(F101,J101)=0,"",(IF(F101="",0,F101*Config!$B$11)+IF(J101="",0,J101*Config!$B$12))/(IF(F101="",0,Config!$B$11)+IF(J101="",0,Config!$B$12)))</f>
        <v/>
      </c>
      <c r="O101" s="11" t="str">
        <f>IF(COUNTA(G101,K101)=0,"",(IF(G101="",0,G101*Config!$B$11)+IF(K101="",0,K101*Config!$B$12))/(IF(G101="",0,Config!$B$11)+IF(K101="",0,Config!$B$12)))</f>
        <v/>
      </c>
      <c r="P101" s="11" t="str">
        <f>IF(COUNTA(H101,L101)=0,"",((IF(H101="No",Config!$B$11,0)+IF(L101="No",Config!$B$12,0))/(IF(H101&lt;&gt;"",Config!$B$11,0)+IF(L101&lt;&gt;"",Config!$B$12,0)))*Config!$B$5)</f>
        <v/>
      </c>
      <c r="Q101" s="12"/>
      <c r="R101" s="12"/>
      <c r="S101" s="10"/>
      <c r="T101" s="13" t="str">
        <f>IF(COUNT(M101:P101)=0,"",M101*Config!$B$2+N101*Config!$B$3+O101*Config!$B$4+P101)</f>
        <v/>
      </c>
      <c r="U101" s="14" t="str">
        <f>IF(T101="","",IF(T101&gt;=Config!$B$7,"MUST SEE",IF(T101&gt;=Config!$B$8,"ALTO",IF(T101&gt;=Config!$B$9,"VALUTA","SKIP"))))</f>
        <v/>
      </c>
      <c r="V101" s="14" t="str">
        <f>IF(T101="","",IF(T101&gt;=Config!$B$9,"SI","NO"))</f>
        <v/>
      </c>
      <c r="W101" s="14" t="str">
        <f t="shared" si="1"/>
        <v/>
      </c>
      <c r="X101" s="14" t="str">
        <f t="shared" si="2"/>
        <v/>
      </c>
      <c r="Z101" s="14" t="s">
        <v>41</v>
      </c>
      <c r="AA101" s="14" t="s">
        <v>42</v>
      </c>
    </row>
    <row r="102" ht="15.75" customHeight="1">
      <c r="A102" s="9">
        <v>46179.0</v>
      </c>
      <c r="B102" s="10" t="s">
        <v>145</v>
      </c>
      <c r="C102" s="10" t="s">
        <v>47</v>
      </c>
      <c r="D102" s="10" t="s">
        <v>148</v>
      </c>
      <c r="E102" s="10"/>
      <c r="F102" s="10"/>
      <c r="G102" s="10"/>
      <c r="H102" s="10"/>
      <c r="I102" s="10"/>
      <c r="J102" s="10"/>
      <c r="K102" s="10"/>
      <c r="L102" s="10"/>
      <c r="M102" s="11" t="str">
        <f>IF(COUNTA(E102,I102)=0,"",(IF(E102="",0,E102*Config!$B$11)+IF(I102="",0,I102*Config!$B$12))/(IF(E102="",0,Config!$B$11)+IF(I102="",0,Config!$B$12)))</f>
        <v/>
      </c>
      <c r="N102" s="11" t="str">
        <f>IF(COUNTA(F102,J102)=0,"",(IF(F102="",0,F102*Config!$B$11)+IF(J102="",0,J102*Config!$B$12))/(IF(F102="",0,Config!$B$11)+IF(J102="",0,Config!$B$12)))</f>
        <v/>
      </c>
      <c r="O102" s="11" t="str">
        <f>IF(COUNTA(G102,K102)=0,"",(IF(G102="",0,G102*Config!$B$11)+IF(K102="",0,K102*Config!$B$12))/(IF(G102="",0,Config!$B$11)+IF(K102="",0,Config!$B$12)))</f>
        <v/>
      </c>
      <c r="P102" s="11" t="str">
        <f>IF(COUNTA(H102,L102)=0,"",((IF(H102="No",Config!$B$11,0)+IF(L102="No",Config!$B$12,0))/(IF(H102&lt;&gt;"",Config!$B$11,0)+IF(L102&lt;&gt;"",Config!$B$12,0)))*Config!$B$5)</f>
        <v/>
      </c>
      <c r="Q102" s="12"/>
      <c r="R102" s="12"/>
      <c r="S102" s="10"/>
      <c r="T102" s="13" t="str">
        <f>IF(COUNT(M102:P102)=0,"",M102*Config!$B$2+N102*Config!$B$3+O102*Config!$B$4+P102)</f>
        <v/>
      </c>
      <c r="U102" s="14" t="str">
        <f>IF(T102="","",IF(T102&gt;=Config!$B$7,"MUST SEE",IF(T102&gt;=Config!$B$8,"ALTO",IF(T102&gt;=Config!$B$9,"VALUTA","SKIP"))))</f>
        <v/>
      </c>
      <c r="V102" s="14" t="str">
        <f>IF(T102="","",IF(T102&gt;=Config!$B$9,"SI","NO"))</f>
        <v/>
      </c>
      <c r="W102" s="14" t="str">
        <f t="shared" si="1"/>
        <v/>
      </c>
      <c r="X102" s="14" t="str">
        <f t="shared" si="2"/>
        <v/>
      </c>
      <c r="Z102" s="14" t="s">
        <v>41</v>
      </c>
      <c r="AA102" s="14" t="s">
        <v>42</v>
      </c>
    </row>
    <row r="103" ht="15.75" customHeight="1">
      <c r="A103" s="9">
        <v>46179.0</v>
      </c>
      <c r="B103" s="10" t="s">
        <v>145</v>
      </c>
      <c r="C103" s="10" t="s">
        <v>47</v>
      </c>
      <c r="D103" s="10" t="s">
        <v>149</v>
      </c>
      <c r="E103" s="10"/>
      <c r="F103" s="10"/>
      <c r="G103" s="10"/>
      <c r="H103" s="10"/>
      <c r="I103" s="10"/>
      <c r="J103" s="10"/>
      <c r="K103" s="10"/>
      <c r="L103" s="10"/>
      <c r="M103" s="11" t="str">
        <f>IF(COUNTA(E103,I103)=0,"",(IF(E103="",0,E103*Config!$B$11)+IF(I103="",0,I103*Config!$B$12))/(IF(E103="",0,Config!$B$11)+IF(I103="",0,Config!$B$12)))</f>
        <v/>
      </c>
      <c r="N103" s="11" t="str">
        <f>IF(COUNTA(F103,J103)=0,"",(IF(F103="",0,F103*Config!$B$11)+IF(J103="",0,J103*Config!$B$12))/(IF(F103="",0,Config!$B$11)+IF(J103="",0,Config!$B$12)))</f>
        <v/>
      </c>
      <c r="O103" s="11" t="str">
        <f>IF(COUNTA(G103,K103)=0,"",(IF(G103="",0,G103*Config!$B$11)+IF(K103="",0,K103*Config!$B$12))/(IF(G103="",0,Config!$B$11)+IF(K103="",0,Config!$B$12)))</f>
        <v/>
      </c>
      <c r="P103" s="11" t="str">
        <f>IF(COUNTA(H103,L103)=0,"",((IF(H103="No",Config!$B$11,0)+IF(L103="No",Config!$B$12,0))/(IF(H103&lt;&gt;"",Config!$B$11,0)+IF(L103&lt;&gt;"",Config!$B$12,0)))*Config!$B$5)</f>
        <v/>
      </c>
      <c r="Q103" s="12"/>
      <c r="R103" s="12"/>
      <c r="S103" s="10"/>
      <c r="T103" s="13" t="str">
        <f>IF(COUNT(M103:P103)=0,"",M103*Config!$B$2+N103*Config!$B$3+O103*Config!$B$4+P103)</f>
        <v/>
      </c>
      <c r="U103" s="14" t="str">
        <f>IF(T103="","",IF(T103&gt;=Config!$B$7,"MUST SEE",IF(T103&gt;=Config!$B$8,"ALTO",IF(T103&gt;=Config!$B$9,"VALUTA","SKIP"))))</f>
        <v/>
      </c>
      <c r="V103" s="14" t="str">
        <f>IF(T103="","",IF(T103&gt;=Config!$B$9,"SI","NO"))</f>
        <v/>
      </c>
      <c r="W103" s="14" t="str">
        <f t="shared" si="1"/>
        <v/>
      </c>
      <c r="X103" s="14" t="str">
        <f t="shared" si="2"/>
        <v/>
      </c>
      <c r="Z103" s="14" t="s">
        <v>41</v>
      </c>
      <c r="AA103" s="14" t="s">
        <v>42</v>
      </c>
    </row>
    <row r="104" ht="15.75" customHeight="1">
      <c r="A104" s="9">
        <v>46179.0</v>
      </c>
      <c r="B104" s="10" t="s">
        <v>145</v>
      </c>
      <c r="C104" s="10" t="s">
        <v>47</v>
      </c>
      <c r="D104" s="10" t="s">
        <v>150</v>
      </c>
      <c r="E104" s="10"/>
      <c r="F104" s="10"/>
      <c r="G104" s="10"/>
      <c r="H104" s="10"/>
      <c r="I104" s="10"/>
      <c r="J104" s="10"/>
      <c r="K104" s="10"/>
      <c r="L104" s="10"/>
      <c r="M104" s="11" t="str">
        <f>IF(COUNTA(E104,I104)=0,"",(IF(E104="",0,E104*Config!$B$11)+IF(I104="",0,I104*Config!$B$12))/(IF(E104="",0,Config!$B$11)+IF(I104="",0,Config!$B$12)))</f>
        <v/>
      </c>
      <c r="N104" s="11" t="str">
        <f>IF(COUNTA(F104,J104)=0,"",(IF(F104="",0,F104*Config!$B$11)+IF(J104="",0,J104*Config!$B$12))/(IF(F104="",0,Config!$B$11)+IF(J104="",0,Config!$B$12)))</f>
        <v/>
      </c>
      <c r="O104" s="11" t="str">
        <f>IF(COUNTA(G104,K104)=0,"",(IF(G104="",0,G104*Config!$B$11)+IF(K104="",0,K104*Config!$B$12))/(IF(G104="",0,Config!$B$11)+IF(K104="",0,Config!$B$12)))</f>
        <v/>
      </c>
      <c r="P104" s="11" t="str">
        <f>IF(COUNTA(H104,L104)=0,"",((IF(H104="No",Config!$B$11,0)+IF(L104="No",Config!$B$12,0))/(IF(H104&lt;&gt;"",Config!$B$11,0)+IF(L104&lt;&gt;"",Config!$B$12,0)))*Config!$B$5)</f>
        <v/>
      </c>
      <c r="Q104" s="12"/>
      <c r="R104" s="12"/>
      <c r="S104" s="10"/>
      <c r="T104" s="13" t="str">
        <f>IF(COUNT(M104:P104)=0,"",M104*Config!$B$2+N104*Config!$B$3+O104*Config!$B$4+P104)</f>
        <v/>
      </c>
      <c r="U104" s="14" t="str">
        <f>IF(T104="","",IF(T104&gt;=Config!$B$7,"MUST SEE",IF(T104&gt;=Config!$B$8,"ALTO",IF(T104&gt;=Config!$B$9,"VALUTA","SKIP"))))</f>
        <v/>
      </c>
      <c r="V104" s="14" t="str">
        <f>IF(T104="","",IF(T104&gt;=Config!$B$9,"SI","NO"))</f>
        <v/>
      </c>
      <c r="W104" s="14" t="str">
        <f t="shared" si="1"/>
        <v/>
      </c>
      <c r="X104" s="14" t="str">
        <f t="shared" si="2"/>
        <v/>
      </c>
      <c r="Z104" s="14" t="s">
        <v>41</v>
      </c>
      <c r="AA104" s="14" t="s">
        <v>42</v>
      </c>
    </row>
    <row r="105" ht="15.75" customHeight="1">
      <c r="A105" s="9">
        <v>46179.0</v>
      </c>
      <c r="B105" s="10" t="s">
        <v>145</v>
      </c>
      <c r="C105" s="10" t="s">
        <v>47</v>
      </c>
      <c r="D105" s="10" t="s">
        <v>151</v>
      </c>
      <c r="E105" s="10"/>
      <c r="F105" s="10"/>
      <c r="G105" s="10"/>
      <c r="H105" s="10"/>
      <c r="I105" s="10"/>
      <c r="J105" s="10"/>
      <c r="K105" s="10"/>
      <c r="L105" s="10"/>
      <c r="M105" s="11" t="str">
        <f>IF(COUNTA(E105,I105)=0,"",(IF(E105="",0,E105*Config!$B$11)+IF(I105="",0,I105*Config!$B$12))/(IF(E105="",0,Config!$B$11)+IF(I105="",0,Config!$B$12)))</f>
        <v/>
      </c>
      <c r="N105" s="11" t="str">
        <f>IF(COUNTA(F105,J105)=0,"",(IF(F105="",0,F105*Config!$B$11)+IF(J105="",0,J105*Config!$B$12))/(IF(F105="",0,Config!$B$11)+IF(J105="",0,Config!$B$12)))</f>
        <v/>
      </c>
      <c r="O105" s="11" t="str">
        <f>IF(COUNTA(G105,K105)=0,"",(IF(G105="",0,G105*Config!$B$11)+IF(K105="",0,K105*Config!$B$12))/(IF(G105="",0,Config!$B$11)+IF(K105="",0,Config!$B$12)))</f>
        <v/>
      </c>
      <c r="P105" s="11" t="str">
        <f>IF(COUNTA(H105,L105)=0,"",((IF(H105="No",Config!$B$11,0)+IF(L105="No",Config!$B$12,0))/(IF(H105&lt;&gt;"",Config!$B$11,0)+IF(L105&lt;&gt;"",Config!$B$12,0)))*Config!$B$5)</f>
        <v/>
      </c>
      <c r="Q105" s="12"/>
      <c r="R105" s="12"/>
      <c r="S105" s="10"/>
      <c r="T105" s="13" t="str">
        <f>IF(COUNT(M105:P105)=0,"",M105*Config!$B$2+N105*Config!$B$3+O105*Config!$B$4+P105)</f>
        <v/>
      </c>
      <c r="U105" s="14" t="str">
        <f>IF(T105="","",IF(T105&gt;=Config!$B$7,"MUST SEE",IF(T105&gt;=Config!$B$8,"ALTO",IF(T105&gt;=Config!$B$9,"VALUTA","SKIP"))))</f>
        <v/>
      </c>
      <c r="V105" s="14" t="str">
        <f>IF(T105="","",IF(T105&gt;=Config!$B$9,"SI","NO"))</f>
        <v/>
      </c>
      <c r="W105" s="14" t="str">
        <f t="shared" si="1"/>
        <v/>
      </c>
      <c r="X105" s="14" t="str">
        <f t="shared" si="2"/>
        <v/>
      </c>
      <c r="Z105" s="14" t="s">
        <v>41</v>
      </c>
      <c r="AA105" s="14" t="s">
        <v>42</v>
      </c>
    </row>
    <row r="106" ht="15.75" customHeight="1">
      <c r="A106" s="9">
        <v>46179.0</v>
      </c>
      <c r="B106" s="10" t="s">
        <v>145</v>
      </c>
      <c r="C106" s="10" t="s">
        <v>47</v>
      </c>
      <c r="D106" s="10" t="s">
        <v>152</v>
      </c>
      <c r="E106" s="10"/>
      <c r="F106" s="10"/>
      <c r="G106" s="10"/>
      <c r="H106" s="10"/>
      <c r="I106" s="10"/>
      <c r="J106" s="10"/>
      <c r="K106" s="10"/>
      <c r="L106" s="10"/>
      <c r="M106" s="11" t="str">
        <f>IF(COUNTA(E106,I106)=0,"",(IF(E106="",0,E106*Config!$B$11)+IF(I106="",0,I106*Config!$B$12))/(IF(E106="",0,Config!$B$11)+IF(I106="",0,Config!$B$12)))</f>
        <v/>
      </c>
      <c r="N106" s="11" t="str">
        <f>IF(COUNTA(F106,J106)=0,"",(IF(F106="",0,F106*Config!$B$11)+IF(J106="",0,J106*Config!$B$12))/(IF(F106="",0,Config!$B$11)+IF(J106="",0,Config!$B$12)))</f>
        <v/>
      </c>
      <c r="O106" s="11" t="str">
        <f>IF(COUNTA(G106,K106)=0,"",(IF(G106="",0,G106*Config!$B$11)+IF(K106="",0,K106*Config!$B$12))/(IF(G106="",0,Config!$B$11)+IF(K106="",0,Config!$B$12)))</f>
        <v/>
      </c>
      <c r="P106" s="11" t="str">
        <f>IF(COUNTA(H106,L106)=0,"",((IF(H106="No",Config!$B$11,0)+IF(L106="No",Config!$B$12,0))/(IF(H106&lt;&gt;"",Config!$B$11,0)+IF(L106&lt;&gt;"",Config!$B$12,0)))*Config!$B$5)</f>
        <v/>
      </c>
      <c r="Q106" s="12"/>
      <c r="R106" s="12"/>
      <c r="S106" s="10"/>
      <c r="T106" s="13" t="str">
        <f>IF(COUNT(M106:P106)=0,"",M106*Config!$B$2+N106*Config!$B$3+O106*Config!$B$4+P106)</f>
        <v/>
      </c>
      <c r="U106" s="14" t="str">
        <f>IF(T106="","",IF(T106&gt;=Config!$B$7,"MUST SEE",IF(T106&gt;=Config!$B$8,"ALTO",IF(T106&gt;=Config!$B$9,"VALUTA","SKIP"))))</f>
        <v/>
      </c>
      <c r="V106" s="14" t="str">
        <f>IF(T106="","",IF(T106&gt;=Config!$B$9,"SI","NO"))</f>
        <v/>
      </c>
      <c r="W106" s="14" t="str">
        <f t="shared" si="1"/>
        <v/>
      </c>
      <c r="X106" s="14" t="str">
        <f t="shared" si="2"/>
        <v/>
      </c>
      <c r="Z106" s="14" t="s">
        <v>41</v>
      </c>
      <c r="AA106" s="14" t="s">
        <v>42</v>
      </c>
    </row>
    <row r="107" ht="15.75" customHeight="1">
      <c r="A107" s="9">
        <v>46179.0</v>
      </c>
      <c r="B107" s="10" t="s">
        <v>145</v>
      </c>
      <c r="C107" s="10" t="s">
        <v>47</v>
      </c>
      <c r="D107" s="10" t="s">
        <v>153</v>
      </c>
      <c r="E107" s="10"/>
      <c r="F107" s="10"/>
      <c r="G107" s="10"/>
      <c r="H107" s="10"/>
      <c r="I107" s="15">
        <v>6.0</v>
      </c>
      <c r="J107" s="15">
        <v>2.0</v>
      </c>
      <c r="K107" s="15">
        <v>4.0</v>
      </c>
      <c r="L107" s="15" t="s">
        <v>49</v>
      </c>
      <c r="M107" s="11">
        <f>IF(COUNTA(E107,I107)=0,"",(IF(E107="",0,E107*Config!$B$11)+IF(I107="",0,I107*Config!$B$12))/(IF(E107="",0,Config!$B$11)+IF(I107="",0,Config!$B$12)))</f>
        <v>6</v>
      </c>
      <c r="N107" s="11">
        <f>IF(COUNTA(F107,J107)=0,"",(IF(F107="",0,F107*Config!$B$11)+IF(J107="",0,J107*Config!$B$12))/(IF(F107="",0,Config!$B$11)+IF(J107="",0,Config!$B$12)))</f>
        <v>2</v>
      </c>
      <c r="O107" s="11">
        <f>IF(COUNTA(G107,K107)=0,"",(IF(G107="",0,G107*Config!$B$11)+IF(K107="",0,K107*Config!$B$12))/(IF(G107="",0,Config!$B$11)+IF(K107="",0,Config!$B$12)))</f>
        <v>4</v>
      </c>
      <c r="P107" s="11">
        <f>IF(COUNTA(H107,L107)=0,"",((IF(H107="No",Config!$B$11,0)+IF(L107="No",Config!$B$12,0))/(IF(H107&lt;&gt;"",Config!$B$11,0)+IF(L107&lt;&gt;"",Config!$B$12,0)))*Config!$B$5)</f>
        <v>1</v>
      </c>
      <c r="Q107" s="12"/>
      <c r="R107" s="12"/>
      <c r="S107" s="10"/>
      <c r="T107" s="13">
        <f>IF(COUNT(M107:P107)=0,"",M107*Config!$B$2+N107*Config!$B$3+O107*Config!$B$4+P107)</f>
        <v>21</v>
      </c>
      <c r="U107" s="14" t="str">
        <f>IF(T107="","",IF(T107&gt;=Config!$B$7,"MUST SEE",IF(T107&gt;=Config!$B$8,"ALTO",IF(T107&gt;=Config!$B$9,"VALUTA","SKIP"))))</f>
        <v>ALTO</v>
      </c>
      <c r="V107" s="14" t="str">
        <f>IF(T107="","",IF(T107&gt;=Config!$B$9,"SI","NO"))</f>
        <v>SI</v>
      </c>
      <c r="W107" s="14" t="str">
        <f t="shared" si="1"/>
        <v/>
      </c>
      <c r="X107" s="14">
        <f t="shared" si="2"/>
        <v>12</v>
      </c>
      <c r="Z107" s="14" t="s">
        <v>41</v>
      </c>
      <c r="AA107" s="14" t="s">
        <v>42</v>
      </c>
    </row>
    <row r="108" ht="15.75" customHeight="1">
      <c r="A108" s="9">
        <v>46179.0</v>
      </c>
      <c r="B108" s="10" t="s">
        <v>145</v>
      </c>
      <c r="C108" s="10" t="s">
        <v>47</v>
      </c>
      <c r="D108" s="10" t="s">
        <v>154</v>
      </c>
      <c r="E108" s="10"/>
      <c r="F108" s="10"/>
      <c r="G108" s="10"/>
      <c r="H108" s="10"/>
      <c r="I108" s="10"/>
      <c r="J108" s="10"/>
      <c r="K108" s="10"/>
      <c r="L108" s="10"/>
      <c r="M108" s="11" t="str">
        <f>IF(COUNTA(E108,I108)=0,"",(IF(E108="",0,E108*Config!$B$11)+IF(I108="",0,I108*Config!$B$12))/(IF(E108="",0,Config!$B$11)+IF(I108="",0,Config!$B$12)))</f>
        <v/>
      </c>
      <c r="N108" s="11" t="str">
        <f>IF(COUNTA(F108,J108)=0,"",(IF(F108="",0,F108*Config!$B$11)+IF(J108="",0,J108*Config!$B$12))/(IF(F108="",0,Config!$B$11)+IF(J108="",0,Config!$B$12)))</f>
        <v/>
      </c>
      <c r="O108" s="11" t="str">
        <f>IF(COUNTA(G108,K108)=0,"",(IF(G108="",0,G108*Config!$B$11)+IF(K108="",0,K108*Config!$B$12))/(IF(G108="",0,Config!$B$11)+IF(K108="",0,Config!$B$12)))</f>
        <v/>
      </c>
      <c r="P108" s="11" t="str">
        <f>IF(COUNTA(H108,L108)=0,"",((IF(H108="No",Config!$B$11,0)+IF(L108="No",Config!$B$12,0))/(IF(H108&lt;&gt;"",Config!$B$11,0)+IF(L108&lt;&gt;"",Config!$B$12,0)))*Config!$B$5)</f>
        <v/>
      </c>
      <c r="Q108" s="12"/>
      <c r="R108" s="12"/>
      <c r="S108" s="10"/>
      <c r="T108" s="13" t="str">
        <f>IF(COUNT(M108:P108)=0,"",M108*Config!$B$2+N108*Config!$B$3+O108*Config!$B$4+P108)</f>
        <v/>
      </c>
      <c r="U108" s="14" t="str">
        <f>IF(T108="","",IF(T108&gt;=Config!$B$7,"MUST SEE",IF(T108&gt;=Config!$B$8,"ALTO",IF(T108&gt;=Config!$B$9,"VALUTA","SKIP"))))</f>
        <v/>
      </c>
      <c r="V108" s="14" t="str">
        <f>IF(T108="","",IF(T108&gt;=Config!$B$9,"SI","NO"))</f>
        <v/>
      </c>
      <c r="W108" s="14" t="str">
        <f t="shared" si="1"/>
        <v/>
      </c>
      <c r="X108" s="14" t="str">
        <f t="shared" si="2"/>
        <v/>
      </c>
      <c r="Z108" s="14" t="s">
        <v>41</v>
      </c>
      <c r="AA108" s="14" t="s">
        <v>42</v>
      </c>
    </row>
    <row r="109" ht="15.75" customHeight="1">
      <c r="A109" s="9">
        <v>46179.0</v>
      </c>
      <c r="B109" s="10" t="s">
        <v>145</v>
      </c>
      <c r="C109" s="10" t="s">
        <v>47</v>
      </c>
      <c r="D109" s="10" t="s">
        <v>155</v>
      </c>
      <c r="E109" s="10"/>
      <c r="F109" s="10"/>
      <c r="G109" s="10"/>
      <c r="H109" s="10"/>
      <c r="I109" s="10"/>
      <c r="J109" s="10"/>
      <c r="K109" s="10"/>
      <c r="L109" s="10"/>
      <c r="M109" s="11" t="str">
        <f>IF(COUNTA(E109,I109)=0,"",(IF(E109="",0,E109*Config!$B$11)+IF(I109="",0,I109*Config!$B$12))/(IF(E109="",0,Config!$B$11)+IF(I109="",0,Config!$B$12)))</f>
        <v/>
      </c>
      <c r="N109" s="11" t="str">
        <f>IF(COUNTA(F109,J109)=0,"",(IF(F109="",0,F109*Config!$B$11)+IF(J109="",0,J109*Config!$B$12))/(IF(F109="",0,Config!$B$11)+IF(J109="",0,Config!$B$12)))</f>
        <v/>
      </c>
      <c r="O109" s="11" t="str">
        <f>IF(COUNTA(G109,K109)=0,"",(IF(G109="",0,G109*Config!$B$11)+IF(K109="",0,K109*Config!$B$12))/(IF(G109="",0,Config!$B$11)+IF(K109="",0,Config!$B$12)))</f>
        <v/>
      </c>
      <c r="P109" s="11" t="str">
        <f>IF(COUNTA(H109,L109)=0,"",((IF(H109="No",Config!$B$11,0)+IF(L109="No",Config!$B$12,0))/(IF(H109&lt;&gt;"",Config!$B$11,0)+IF(L109&lt;&gt;"",Config!$B$12,0)))*Config!$B$5)</f>
        <v/>
      </c>
      <c r="Q109" s="12"/>
      <c r="R109" s="12"/>
      <c r="S109" s="10"/>
      <c r="T109" s="13" t="str">
        <f>IF(COUNT(M109:P109)=0,"",M109*Config!$B$2+N109*Config!$B$3+O109*Config!$B$4+P109)</f>
        <v/>
      </c>
      <c r="U109" s="14" t="str">
        <f>IF(T109="","",IF(T109&gt;=Config!$B$7,"MUST SEE",IF(T109&gt;=Config!$B$8,"ALTO",IF(T109&gt;=Config!$B$9,"VALUTA","SKIP"))))</f>
        <v/>
      </c>
      <c r="V109" s="14" t="str">
        <f>IF(T109="","",IF(T109&gt;=Config!$B$9,"SI","NO"))</f>
        <v/>
      </c>
      <c r="W109" s="14" t="str">
        <f t="shared" si="1"/>
        <v/>
      </c>
      <c r="X109" s="14" t="str">
        <f t="shared" si="2"/>
        <v/>
      </c>
      <c r="Z109" s="14" t="s">
        <v>41</v>
      </c>
      <c r="AA109" s="14" t="s">
        <v>42</v>
      </c>
    </row>
    <row r="110" ht="15.75" customHeight="1">
      <c r="A110" s="9">
        <v>46179.0</v>
      </c>
      <c r="B110" s="10" t="s">
        <v>145</v>
      </c>
      <c r="C110" s="10" t="s">
        <v>47</v>
      </c>
      <c r="D110" s="10" t="s">
        <v>156</v>
      </c>
      <c r="E110" s="15">
        <v>10.0</v>
      </c>
      <c r="F110" s="15">
        <v>5.0</v>
      </c>
      <c r="G110" s="15">
        <v>5.0</v>
      </c>
      <c r="H110" s="15" t="s">
        <v>55</v>
      </c>
      <c r="I110" s="15">
        <v>7.0</v>
      </c>
      <c r="J110" s="15">
        <v>3.0</v>
      </c>
      <c r="K110" s="15">
        <v>4.0</v>
      </c>
      <c r="L110" s="15" t="s">
        <v>49</v>
      </c>
      <c r="M110" s="11">
        <f>IF(COUNTA(E110,I110)=0,"",(IF(E110="",0,E110*Config!$B$11)+IF(I110="",0,I110*Config!$B$12))/(IF(E110="",0,Config!$B$11)+IF(I110="",0,Config!$B$12)))</f>
        <v>8.5</v>
      </c>
      <c r="N110" s="11">
        <f>IF(COUNTA(F110,J110)=0,"",(IF(F110="",0,F110*Config!$B$11)+IF(J110="",0,J110*Config!$B$12))/(IF(F110="",0,Config!$B$11)+IF(J110="",0,Config!$B$12)))</f>
        <v>4</v>
      </c>
      <c r="O110" s="11">
        <f>IF(COUNTA(G110,K110)=0,"",(IF(G110="",0,G110*Config!$B$11)+IF(K110="",0,K110*Config!$B$12))/(IF(G110="",0,Config!$B$11)+IF(K110="",0,Config!$B$12)))</f>
        <v>4.5</v>
      </c>
      <c r="P110" s="11">
        <f>IF(COUNTA(H110,L110)=0,"",((IF(H110="No",Config!$B$11,0)+IF(L110="No",Config!$B$12,0))/(IF(H110&lt;&gt;"",Config!$B$11,0)+IF(L110&lt;&gt;"",Config!$B$12,0)))*Config!$B$5)</f>
        <v>0.5</v>
      </c>
      <c r="Q110" s="12"/>
      <c r="R110" s="12"/>
      <c r="S110" s="10"/>
      <c r="T110" s="13">
        <f>IF(COUNT(M110:P110)=0,"",M110*Config!$B$2+N110*Config!$B$3+O110*Config!$B$4+P110)</f>
        <v>30</v>
      </c>
      <c r="U110" s="14" t="str">
        <f>IF(T110="","",IF(T110&gt;=Config!$B$7,"MUST SEE",IF(T110&gt;=Config!$B$8,"ALTO",IF(T110&gt;=Config!$B$9,"VALUTA","SKIP"))))</f>
        <v>MUST SEE</v>
      </c>
      <c r="V110" s="14" t="str">
        <f>IF(T110="","",IF(T110&gt;=Config!$B$9,"SI","NO"))</f>
        <v>SI</v>
      </c>
      <c r="W110" s="14" t="str">
        <f t="shared" si="1"/>
        <v/>
      </c>
      <c r="X110" s="14">
        <f t="shared" si="2"/>
        <v>4</v>
      </c>
      <c r="Z110" s="14" t="s">
        <v>41</v>
      </c>
      <c r="AA110" s="14" t="s">
        <v>42</v>
      </c>
    </row>
    <row r="111" ht="15.75" customHeight="1">
      <c r="A111" s="9">
        <v>46179.0</v>
      </c>
      <c r="B111" s="10" t="s">
        <v>145</v>
      </c>
      <c r="C111" s="10" t="s">
        <v>47</v>
      </c>
      <c r="D111" s="10" t="s">
        <v>157</v>
      </c>
      <c r="E111" s="10"/>
      <c r="F111" s="10"/>
      <c r="G111" s="10"/>
      <c r="H111" s="10"/>
      <c r="I111" s="10"/>
      <c r="J111" s="10"/>
      <c r="K111" s="10"/>
      <c r="L111" s="10"/>
      <c r="M111" s="11" t="str">
        <f>IF(COUNTA(E111,I111)=0,"",(IF(E111="",0,E111*Config!$B$11)+IF(I111="",0,I111*Config!$B$12))/(IF(E111="",0,Config!$B$11)+IF(I111="",0,Config!$B$12)))</f>
        <v/>
      </c>
      <c r="N111" s="11" t="str">
        <f>IF(COUNTA(F111,J111)=0,"",(IF(F111="",0,F111*Config!$B$11)+IF(J111="",0,J111*Config!$B$12))/(IF(F111="",0,Config!$B$11)+IF(J111="",0,Config!$B$12)))</f>
        <v/>
      </c>
      <c r="O111" s="11" t="str">
        <f>IF(COUNTA(G111,K111)=0,"",(IF(G111="",0,G111*Config!$B$11)+IF(K111="",0,K111*Config!$B$12))/(IF(G111="",0,Config!$B$11)+IF(K111="",0,Config!$B$12)))</f>
        <v/>
      </c>
      <c r="P111" s="11" t="str">
        <f>IF(COUNTA(H111,L111)=0,"",((IF(H111="No",Config!$B$11,0)+IF(L111="No",Config!$B$12,0))/(IF(H111&lt;&gt;"",Config!$B$11,0)+IF(L111&lt;&gt;"",Config!$B$12,0)))*Config!$B$5)</f>
        <v/>
      </c>
      <c r="Q111" s="12"/>
      <c r="R111" s="12"/>
      <c r="S111" s="10"/>
      <c r="T111" s="13" t="str">
        <f>IF(COUNT(M111:P111)=0,"",M111*Config!$B$2+N111*Config!$B$3+O111*Config!$B$4+P111)</f>
        <v/>
      </c>
      <c r="U111" s="14" t="str">
        <f>IF(T111="","",IF(T111&gt;=Config!$B$7,"MUST SEE",IF(T111&gt;=Config!$B$8,"ALTO",IF(T111&gt;=Config!$B$9,"VALUTA","SKIP"))))</f>
        <v/>
      </c>
      <c r="V111" s="14" t="str">
        <f>IF(T111="","",IF(T111&gt;=Config!$B$9,"SI","NO"))</f>
        <v/>
      </c>
      <c r="W111" s="14" t="str">
        <f t="shared" si="1"/>
        <v/>
      </c>
      <c r="X111" s="14" t="str">
        <f t="shared" si="2"/>
        <v/>
      </c>
      <c r="Z111" s="14" t="s">
        <v>41</v>
      </c>
      <c r="AA111" s="14" t="s">
        <v>42</v>
      </c>
    </row>
    <row r="112" ht="15.75" customHeight="1">
      <c r="A112" s="9">
        <v>46179.0</v>
      </c>
      <c r="B112" s="10" t="s">
        <v>145</v>
      </c>
      <c r="C112" s="10" t="s">
        <v>47</v>
      </c>
      <c r="D112" s="10" t="s">
        <v>158</v>
      </c>
      <c r="E112" s="10"/>
      <c r="F112" s="10"/>
      <c r="G112" s="10"/>
      <c r="H112" s="10"/>
      <c r="I112" s="10"/>
      <c r="J112" s="10"/>
      <c r="K112" s="10"/>
      <c r="L112" s="10"/>
      <c r="M112" s="11" t="str">
        <f>IF(COUNTA(E112,I112)=0,"",(IF(E112="",0,E112*Config!$B$11)+IF(I112="",0,I112*Config!$B$12))/(IF(E112="",0,Config!$B$11)+IF(I112="",0,Config!$B$12)))</f>
        <v/>
      </c>
      <c r="N112" s="11" t="str">
        <f>IF(COUNTA(F112,J112)=0,"",(IF(F112="",0,F112*Config!$B$11)+IF(J112="",0,J112*Config!$B$12))/(IF(F112="",0,Config!$B$11)+IF(J112="",0,Config!$B$12)))</f>
        <v/>
      </c>
      <c r="O112" s="11" t="str">
        <f>IF(COUNTA(G112,K112)=0,"",(IF(G112="",0,G112*Config!$B$11)+IF(K112="",0,K112*Config!$B$12))/(IF(G112="",0,Config!$B$11)+IF(K112="",0,Config!$B$12)))</f>
        <v/>
      </c>
      <c r="P112" s="11" t="str">
        <f>IF(COUNTA(H112,L112)=0,"",((IF(H112="No",Config!$B$11,0)+IF(L112="No",Config!$B$12,0))/(IF(H112&lt;&gt;"",Config!$B$11,0)+IF(L112&lt;&gt;"",Config!$B$12,0)))*Config!$B$5)</f>
        <v/>
      </c>
      <c r="Q112" s="12"/>
      <c r="R112" s="12"/>
      <c r="S112" s="10"/>
      <c r="T112" s="13" t="str">
        <f>IF(COUNT(M112:P112)=0,"",M112*Config!$B$2+N112*Config!$B$3+O112*Config!$B$4+P112)</f>
        <v/>
      </c>
      <c r="U112" s="14" t="str">
        <f>IF(T112="","",IF(T112&gt;=Config!$B$7,"MUST SEE",IF(T112&gt;=Config!$B$8,"ALTO",IF(T112&gt;=Config!$B$9,"VALUTA","SKIP"))))</f>
        <v/>
      </c>
      <c r="V112" s="14" t="str">
        <f>IF(T112="","",IF(T112&gt;=Config!$B$9,"SI","NO"))</f>
        <v/>
      </c>
      <c r="W112" s="14" t="str">
        <f t="shared" si="1"/>
        <v/>
      </c>
      <c r="X112" s="14" t="str">
        <f t="shared" si="2"/>
        <v/>
      </c>
      <c r="Z112" s="14" t="s">
        <v>41</v>
      </c>
      <c r="AA112" s="14" t="s">
        <v>42</v>
      </c>
    </row>
    <row r="113" ht="15.75" customHeight="1">
      <c r="A113" s="9">
        <v>46179.0</v>
      </c>
      <c r="B113" s="10" t="s">
        <v>145</v>
      </c>
      <c r="C113" s="10" t="s">
        <v>47</v>
      </c>
      <c r="D113" s="10" t="s">
        <v>159</v>
      </c>
      <c r="E113" s="10"/>
      <c r="F113" s="10"/>
      <c r="G113" s="10"/>
      <c r="H113" s="10"/>
      <c r="I113" s="15">
        <v>7.0</v>
      </c>
      <c r="J113" s="15">
        <v>3.0</v>
      </c>
      <c r="K113" s="15">
        <v>3.0</v>
      </c>
      <c r="L113" s="15" t="s">
        <v>49</v>
      </c>
      <c r="M113" s="11">
        <f>IF(COUNTA(E113,I113)=0,"",(IF(E113="",0,E113*Config!$B$11)+IF(I113="",0,I113*Config!$B$12))/(IF(E113="",0,Config!$B$11)+IF(I113="",0,Config!$B$12)))</f>
        <v>7</v>
      </c>
      <c r="N113" s="11">
        <f>IF(COUNTA(F113,J113)=0,"",(IF(F113="",0,F113*Config!$B$11)+IF(J113="",0,J113*Config!$B$12))/(IF(F113="",0,Config!$B$11)+IF(J113="",0,Config!$B$12)))</f>
        <v>3</v>
      </c>
      <c r="O113" s="11">
        <f>IF(COUNTA(G113,K113)=0,"",(IF(G113="",0,G113*Config!$B$11)+IF(K113="",0,K113*Config!$B$12))/(IF(G113="",0,Config!$B$11)+IF(K113="",0,Config!$B$12)))</f>
        <v>3</v>
      </c>
      <c r="P113" s="11">
        <f>IF(COUNTA(H113,L113)=0,"",((IF(H113="No",Config!$B$11,0)+IF(L113="No",Config!$B$12,0))/(IF(H113&lt;&gt;"",Config!$B$11,0)+IF(L113&lt;&gt;"",Config!$B$12,0)))*Config!$B$5)</f>
        <v>1</v>
      </c>
      <c r="Q113" s="12"/>
      <c r="R113" s="12"/>
      <c r="S113" s="10"/>
      <c r="T113" s="13">
        <f>IF(COUNT(M113:P113)=0,"",M113*Config!$B$2+N113*Config!$B$3+O113*Config!$B$4+P113)</f>
        <v>24</v>
      </c>
      <c r="U113" s="14" t="str">
        <f>IF(T113="","",IF(T113&gt;=Config!$B$7,"MUST SEE",IF(T113&gt;=Config!$B$8,"ALTO",IF(T113&gt;=Config!$B$9,"VALUTA","SKIP"))))</f>
        <v>MUST SEE</v>
      </c>
      <c r="V113" s="14" t="str">
        <f>IF(T113="","",IF(T113&gt;=Config!$B$9,"SI","NO"))</f>
        <v>SI</v>
      </c>
      <c r="W113" s="14" t="str">
        <f t="shared" si="1"/>
        <v/>
      </c>
      <c r="X113" s="14">
        <f t="shared" si="2"/>
        <v>11</v>
      </c>
      <c r="Z113" s="14" t="s">
        <v>41</v>
      </c>
      <c r="AA113" s="14" t="s">
        <v>42</v>
      </c>
    </row>
    <row r="114" ht="15.75" customHeight="1">
      <c r="A114" s="9">
        <v>46179.0</v>
      </c>
      <c r="B114" s="10" t="s">
        <v>145</v>
      </c>
      <c r="C114" s="10" t="s">
        <v>47</v>
      </c>
      <c r="D114" s="10" t="s">
        <v>160</v>
      </c>
      <c r="E114" s="10"/>
      <c r="F114" s="10"/>
      <c r="G114" s="10"/>
      <c r="H114" s="10"/>
      <c r="I114" s="10"/>
      <c r="J114" s="10"/>
      <c r="K114" s="10"/>
      <c r="L114" s="10"/>
      <c r="M114" s="11" t="str">
        <f>IF(COUNTA(E114,I114)=0,"",(IF(E114="",0,E114*Config!$B$11)+IF(I114="",0,I114*Config!$B$12))/(IF(E114="",0,Config!$B$11)+IF(I114="",0,Config!$B$12)))</f>
        <v/>
      </c>
      <c r="N114" s="11" t="str">
        <f>IF(COUNTA(F114,J114)=0,"",(IF(F114="",0,F114*Config!$B$11)+IF(J114="",0,J114*Config!$B$12))/(IF(F114="",0,Config!$B$11)+IF(J114="",0,Config!$B$12)))</f>
        <v/>
      </c>
      <c r="O114" s="11" t="str">
        <f>IF(COUNTA(G114,K114)=0,"",(IF(G114="",0,G114*Config!$B$11)+IF(K114="",0,K114*Config!$B$12))/(IF(G114="",0,Config!$B$11)+IF(K114="",0,Config!$B$12)))</f>
        <v/>
      </c>
      <c r="P114" s="11" t="str">
        <f>IF(COUNTA(H114,L114)=0,"",((IF(H114="No",Config!$B$11,0)+IF(L114="No",Config!$B$12,0))/(IF(H114&lt;&gt;"",Config!$B$11,0)+IF(L114&lt;&gt;"",Config!$B$12,0)))*Config!$B$5)</f>
        <v/>
      </c>
      <c r="Q114" s="12"/>
      <c r="R114" s="12"/>
      <c r="S114" s="10"/>
      <c r="T114" s="13" t="str">
        <f>IF(COUNT(M114:P114)=0,"",M114*Config!$B$2+N114*Config!$B$3+O114*Config!$B$4+P114)</f>
        <v/>
      </c>
      <c r="U114" s="14" t="str">
        <f>IF(T114="","",IF(T114&gt;=Config!$B$7,"MUST SEE",IF(T114&gt;=Config!$B$8,"ALTO",IF(T114&gt;=Config!$B$9,"VALUTA","SKIP"))))</f>
        <v/>
      </c>
      <c r="V114" s="14" t="str">
        <f>IF(T114="","",IF(T114&gt;=Config!$B$9,"SI","NO"))</f>
        <v/>
      </c>
      <c r="W114" s="14" t="str">
        <f t="shared" si="1"/>
        <v/>
      </c>
      <c r="X114" s="14" t="str">
        <f t="shared" si="2"/>
        <v/>
      </c>
      <c r="Z114" s="14" t="s">
        <v>41</v>
      </c>
      <c r="AA114" s="14" t="s">
        <v>42</v>
      </c>
    </row>
    <row r="115" ht="15.75" customHeight="1">
      <c r="A115" s="9">
        <v>46179.0</v>
      </c>
      <c r="B115" s="10" t="s">
        <v>145</v>
      </c>
      <c r="C115" s="10" t="s">
        <v>47</v>
      </c>
      <c r="D115" s="10" t="s">
        <v>161</v>
      </c>
      <c r="E115" s="10"/>
      <c r="F115" s="10"/>
      <c r="G115" s="10"/>
      <c r="H115" s="10"/>
      <c r="I115" s="10"/>
      <c r="J115" s="10"/>
      <c r="K115" s="10"/>
      <c r="L115" s="10"/>
      <c r="M115" s="11" t="str">
        <f>IF(COUNTA(E115,I115)=0,"",(IF(E115="",0,E115*Config!$B$11)+IF(I115="",0,I115*Config!$B$12))/(IF(E115="",0,Config!$B$11)+IF(I115="",0,Config!$B$12)))</f>
        <v/>
      </c>
      <c r="N115" s="11" t="str">
        <f>IF(COUNTA(F115,J115)=0,"",(IF(F115="",0,F115*Config!$B$11)+IF(J115="",0,J115*Config!$B$12))/(IF(F115="",0,Config!$B$11)+IF(J115="",0,Config!$B$12)))</f>
        <v/>
      </c>
      <c r="O115" s="11" t="str">
        <f>IF(COUNTA(G115,K115)=0,"",(IF(G115="",0,G115*Config!$B$11)+IF(K115="",0,K115*Config!$B$12))/(IF(G115="",0,Config!$B$11)+IF(K115="",0,Config!$B$12)))</f>
        <v/>
      </c>
      <c r="P115" s="11" t="str">
        <f>IF(COUNTA(H115,L115)=0,"",((IF(H115="No",Config!$B$11,0)+IF(L115="No",Config!$B$12,0))/(IF(H115&lt;&gt;"",Config!$B$11,0)+IF(L115&lt;&gt;"",Config!$B$12,0)))*Config!$B$5)</f>
        <v/>
      </c>
      <c r="Q115" s="12"/>
      <c r="R115" s="12"/>
      <c r="S115" s="10"/>
      <c r="T115" s="13" t="str">
        <f>IF(COUNT(M115:P115)=0,"",M115*Config!$B$2+N115*Config!$B$3+O115*Config!$B$4+P115)</f>
        <v/>
      </c>
      <c r="U115" s="14" t="str">
        <f>IF(T115="","",IF(T115&gt;=Config!$B$7,"MUST SEE",IF(T115&gt;=Config!$B$8,"ALTO",IF(T115&gt;=Config!$B$9,"VALUTA","SKIP"))))</f>
        <v/>
      </c>
      <c r="V115" s="14" t="str">
        <f>IF(T115="","",IF(T115&gt;=Config!$B$9,"SI","NO"))</f>
        <v/>
      </c>
      <c r="W115" s="14" t="str">
        <f t="shared" si="1"/>
        <v/>
      </c>
      <c r="X115" s="14" t="str">
        <f t="shared" si="2"/>
        <v/>
      </c>
      <c r="Z115" s="14" t="s">
        <v>41</v>
      </c>
      <c r="AA115" s="14" t="s">
        <v>42</v>
      </c>
    </row>
    <row r="116" ht="15.75" customHeight="1">
      <c r="A116" s="9">
        <v>46179.0</v>
      </c>
      <c r="B116" s="10" t="s">
        <v>145</v>
      </c>
      <c r="C116" s="10" t="s">
        <v>47</v>
      </c>
      <c r="D116" s="10" t="s">
        <v>162</v>
      </c>
      <c r="E116" s="10"/>
      <c r="F116" s="10"/>
      <c r="G116" s="10"/>
      <c r="H116" s="10"/>
      <c r="I116" s="10"/>
      <c r="J116" s="10"/>
      <c r="K116" s="10"/>
      <c r="L116" s="10"/>
      <c r="M116" s="11" t="str">
        <f>IF(COUNTA(E116,I116)=0,"",(IF(E116="",0,E116*Config!$B$11)+IF(I116="",0,I116*Config!$B$12))/(IF(E116="",0,Config!$B$11)+IF(I116="",0,Config!$B$12)))</f>
        <v/>
      </c>
      <c r="N116" s="11" t="str">
        <f>IF(COUNTA(F116,J116)=0,"",(IF(F116="",0,F116*Config!$B$11)+IF(J116="",0,J116*Config!$B$12))/(IF(F116="",0,Config!$B$11)+IF(J116="",0,Config!$B$12)))</f>
        <v/>
      </c>
      <c r="O116" s="11" t="str">
        <f>IF(COUNTA(G116,K116)=0,"",(IF(G116="",0,G116*Config!$B$11)+IF(K116="",0,K116*Config!$B$12))/(IF(G116="",0,Config!$B$11)+IF(K116="",0,Config!$B$12)))</f>
        <v/>
      </c>
      <c r="P116" s="11" t="str">
        <f>IF(COUNTA(H116,L116)=0,"",((IF(H116="No",Config!$B$11,0)+IF(L116="No",Config!$B$12,0))/(IF(H116&lt;&gt;"",Config!$B$11,0)+IF(L116&lt;&gt;"",Config!$B$12,0)))*Config!$B$5)</f>
        <v/>
      </c>
      <c r="Q116" s="12"/>
      <c r="R116" s="12"/>
      <c r="S116" s="10"/>
      <c r="T116" s="13" t="str">
        <f>IF(COUNT(M116:P116)=0,"",M116*Config!$B$2+N116*Config!$B$3+O116*Config!$B$4+P116)</f>
        <v/>
      </c>
      <c r="U116" s="14" t="str">
        <f>IF(T116="","",IF(T116&gt;=Config!$B$7,"MUST SEE",IF(T116&gt;=Config!$B$8,"ALTO",IF(T116&gt;=Config!$B$9,"VALUTA","SKIP"))))</f>
        <v/>
      </c>
      <c r="V116" s="14" t="str">
        <f>IF(T116="","",IF(T116&gt;=Config!$B$9,"SI","NO"))</f>
        <v/>
      </c>
      <c r="W116" s="14" t="str">
        <f t="shared" si="1"/>
        <v/>
      </c>
      <c r="X116" s="14" t="str">
        <f t="shared" si="2"/>
        <v/>
      </c>
      <c r="Z116" s="14" t="s">
        <v>41</v>
      </c>
      <c r="AA116" s="14" t="s">
        <v>42</v>
      </c>
    </row>
    <row r="117" ht="15.75" customHeight="1">
      <c r="A117" s="9">
        <v>46179.0</v>
      </c>
      <c r="B117" s="10" t="s">
        <v>145</v>
      </c>
      <c r="C117" s="10" t="s">
        <v>47</v>
      </c>
      <c r="D117" s="10" t="s">
        <v>163</v>
      </c>
      <c r="E117" s="15">
        <v>7.0</v>
      </c>
      <c r="F117" s="15">
        <v>4.0</v>
      </c>
      <c r="G117" s="15">
        <v>4.0</v>
      </c>
      <c r="H117" s="15" t="s">
        <v>49</v>
      </c>
      <c r="I117" s="15">
        <v>7.0</v>
      </c>
      <c r="J117" s="15">
        <v>4.0</v>
      </c>
      <c r="K117" s="15">
        <v>2.0</v>
      </c>
      <c r="L117" s="15" t="s">
        <v>55</v>
      </c>
      <c r="M117" s="11">
        <f>IF(COUNTA(E117,I117)=0,"",(IF(E117="",0,E117*Config!$B$11)+IF(I117="",0,I117*Config!$B$12))/(IF(E117="",0,Config!$B$11)+IF(I117="",0,Config!$B$12)))</f>
        <v>7</v>
      </c>
      <c r="N117" s="11">
        <f>IF(COUNTA(F117,J117)=0,"",(IF(F117="",0,F117*Config!$B$11)+IF(J117="",0,J117*Config!$B$12))/(IF(F117="",0,Config!$B$11)+IF(J117="",0,Config!$B$12)))</f>
        <v>4</v>
      </c>
      <c r="O117" s="11">
        <f>IF(COUNTA(G117,K117)=0,"",(IF(G117="",0,G117*Config!$B$11)+IF(K117="",0,K117*Config!$B$12))/(IF(G117="",0,Config!$B$11)+IF(K117="",0,Config!$B$12)))</f>
        <v>3</v>
      </c>
      <c r="P117" s="11">
        <f>IF(COUNTA(H117,L117)=0,"",((IF(H117="No",Config!$B$11,0)+IF(L117="No",Config!$B$12,0))/(IF(H117&lt;&gt;"",Config!$B$11,0)+IF(L117&lt;&gt;"",Config!$B$12,0)))*Config!$B$5)</f>
        <v>0.5</v>
      </c>
      <c r="Q117" s="12"/>
      <c r="R117" s="12"/>
      <c r="S117" s="10"/>
      <c r="T117" s="13">
        <f>IF(COUNT(M117:P117)=0,"",M117*Config!$B$2+N117*Config!$B$3+O117*Config!$B$4+P117)</f>
        <v>25.5</v>
      </c>
      <c r="U117" s="14" t="str">
        <f>IF(T117="","",IF(T117&gt;=Config!$B$7,"MUST SEE",IF(T117&gt;=Config!$B$8,"ALTO",IF(T117&gt;=Config!$B$9,"VALUTA","SKIP"))))</f>
        <v>MUST SEE</v>
      </c>
      <c r="V117" s="14" t="str">
        <f>IF(T117="","",IF(T117&gt;=Config!$B$9,"SI","NO"))</f>
        <v>SI</v>
      </c>
      <c r="W117" s="14" t="str">
        <f t="shared" si="1"/>
        <v/>
      </c>
      <c r="X117" s="14">
        <f t="shared" si="2"/>
        <v>9</v>
      </c>
      <c r="Z117" s="14" t="s">
        <v>41</v>
      </c>
      <c r="AA117" s="14" t="s">
        <v>42</v>
      </c>
    </row>
    <row r="118" ht="15.75" customHeight="1">
      <c r="A118" s="9">
        <v>46179.0</v>
      </c>
      <c r="B118" s="10" t="s">
        <v>145</v>
      </c>
      <c r="C118" s="10" t="s">
        <v>47</v>
      </c>
      <c r="D118" s="10" t="s">
        <v>164</v>
      </c>
      <c r="E118" s="10"/>
      <c r="F118" s="10"/>
      <c r="G118" s="10"/>
      <c r="H118" s="10"/>
      <c r="I118" s="10"/>
      <c r="J118" s="10"/>
      <c r="K118" s="10"/>
      <c r="L118" s="10"/>
      <c r="M118" s="11" t="str">
        <f>IF(COUNTA(E118,I118)=0,"",(IF(E118="",0,E118*Config!$B$11)+IF(I118="",0,I118*Config!$B$12))/(IF(E118="",0,Config!$B$11)+IF(I118="",0,Config!$B$12)))</f>
        <v/>
      </c>
      <c r="N118" s="11" t="str">
        <f>IF(COUNTA(F118,J118)=0,"",(IF(F118="",0,F118*Config!$B$11)+IF(J118="",0,J118*Config!$B$12))/(IF(F118="",0,Config!$B$11)+IF(J118="",0,Config!$B$12)))</f>
        <v/>
      </c>
      <c r="O118" s="11" t="str">
        <f>IF(COUNTA(G118,K118)=0,"",(IF(G118="",0,G118*Config!$B$11)+IF(K118="",0,K118*Config!$B$12))/(IF(G118="",0,Config!$B$11)+IF(K118="",0,Config!$B$12)))</f>
        <v/>
      </c>
      <c r="P118" s="11" t="str">
        <f>IF(COUNTA(H118,L118)=0,"",((IF(H118="No",Config!$B$11,0)+IF(L118="No",Config!$B$12,0))/(IF(H118&lt;&gt;"",Config!$B$11,0)+IF(L118&lt;&gt;"",Config!$B$12,0)))*Config!$B$5)</f>
        <v/>
      </c>
      <c r="Q118" s="12"/>
      <c r="R118" s="12"/>
      <c r="S118" s="10"/>
      <c r="T118" s="13" t="str">
        <f>IF(COUNT(M118:P118)=0,"",M118*Config!$B$2+N118*Config!$B$3+O118*Config!$B$4+P118)</f>
        <v/>
      </c>
      <c r="U118" s="14" t="str">
        <f>IF(T118="","",IF(T118&gt;=Config!$B$7,"MUST SEE",IF(T118&gt;=Config!$B$8,"ALTO",IF(T118&gt;=Config!$B$9,"VALUTA","SKIP"))))</f>
        <v/>
      </c>
      <c r="V118" s="14" t="str">
        <f>IF(T118="","",IF(T118&gt;=Config!$B$9,"SI","NO"))</f>
        <v/>
      </c>
      <c r="W118" s="14" t="str">
        <f t="shared" si="1"/>
        <v/>
      </c>
      <c r="X118" s="14" t="str">
        <f t="shared" si="2"/>
        <v/>
      </c>
      <c r="Z118" s="14" t="s">
        <v>41</v>
      </c>
      <c r="AA118" s="14" t="s">
        <v>42</v>
      </c>
    </row>
    <row r="119" ht="15.75" customHeight="1">
      <c r="A119" s="9">
        <v>46179.0</v>
      </c>
      <c r="B119" s="10" t="s">
        <v>145</v>
      </c>
      <c r="C119" s="10" t="s">
        <v>47</v>
      </c>
      <c r="D119" s="10" t="s">
        <v>165</v>
      </c>
      <c r="E119" s="10"/>
      <c r="F119" s="10"/>
      <c r="G119" s="10"/>
      <c r="H119" s="10"/>
      <c r="I119" s="10"/>
      <c r="J119" s="10"/>
      <c r="K119" s="10"/>
      <c r="L119" s="10"/>
      <c r="M119" s="11" t="str">
        <f>IF(COUNTA(E119,I119)=0,"",(IF(E119="",0,E119*Config!$B$11)+IF(I119="",0,I119*Config!$B$12))/(IF(E119="",0,Config!$B$11)+IF(I119="",0,Config!$B$12)))</f>
        <v/>
      </c>
      <c r="N119" s="11" t="str">
        <f>IF(COUNTA(F119,J119)=0,"",(IF(F119="",0,F119*Config!$B$11)+IF(J119="",0,J119*Config!$B$12))/(IF(F119="",0,Config!$B$11)+IF(J119="",0,Config!$B$12)))</f>
        <v/>
      </c>
      <c r="O119" s="11" t="str">
        <f>IF(COUNTA(G119,K119)=0,"",(IF(G119="",0,G119*Config!$B$11)+IF(K119="",0,K119*Config!$B$12))/(IF(G119="",0,Config!$B$11)+IF(K119="",0,Config!$B$12)))</f>
        <v/>
      </c>
      <c r="P119" s="11" t="str">
        <f>IF(COUNTA(H119,L119)=0,"",((IF(H119="No",Config!$B$11,0)+IF(L119="No",Config!$B$12,0))/(IF(H119&lt;&gt;"",Config!$B$11,0)+IF(L119&lt;&gt;"",Config!$B$12,0)))*Config!$B$5)</f>
        <v/>
      </c>
      <c r="Q119" s="12"/>
      <c r="R119" s="12"/>
      <c r="S119" s="10"/>
      <c r="T119" s="13" t="str">
        <f>IF(COUNT(M119:P119)=0,"",M119*Config!$B$2+N119*Config!$B$3+O119*Config!$B$4+P119)</f>
        <v/>
      </c>
      <c r="U119" s="14" t="str">
        <f>IF(T119="","",IF(T119&gt;=Config!$B$7,"MUST SEE",IF(T119&gt;=Config!$B$8,"ALTO",IF(T119&gt;=Config!$B$9,"VALUTA","SKIP"))))</f>
        <v/>
      </c>
      <c r="V119" s="14" t="str">
        <f>IF(T119="","",IF(T119&gt;=Config!$B$9,"SI","NO"))</f>
        <v/>
      </c>
      <c r="W119" s="14" t="str">
        <f t="shared" si="1"/>
        <v/>
      </c>
      <c r="X119" s="14" t="str">
        <f t="shared" si="2"/>
        <v/>
      </c>
      <c r="Z119" s="14" t="s">
        <v>41</v>
      </c>
      <c r="AA119" s="14" t="s">
        <v>42</v>
      </c>
    </row>
    <row r="120" ht="15.75" customHeight="1">
      <c r="A120" s="9">
        <v>46179.0</v>
      </c>
      <c r="B120" s="10" t="s">
        <v>145</v>
      </c>
      <c r="C120" s="10" t="s">
        <v>47</v>
      </c>
      <c r="D120" s="10" t="s">
        <v>166</v>
      </c>
      <c r="E120" s="10"/>
      <c r="F120" s="10"/>
      <c r="G120" s="10"/>
      <c r="H120" s="10"/>
      <c r="I120" s="10"/>
      <c r="J120" s="10"/>
      <c r="K120" s="10"/>
      <c r="L120" s="10"/>
      <c r="M120" s="11" t="str">
        <f>IF(COUNTA(E120,I120)=0,"",(IF(E120="",0,E120*Config!$B$11)+IF(I120="",0,I120*Config!$B$12))/(IF(E120="",0,Config!$B$11)+IF(I120="",0,Config!$B$12)))</f>
        <v/>
      </c>
      <c r="N120" s="11" t="str">
        <f>IF(COUNTA(F120,J120)=0,"",(IF(F120="",0,F120*Config!$B$11)+IF(J120="",0,J120*Config!$B$12))/(IF(F120="",0,Config!$B$11)+IF(J120="",0,Config!$B$12)))</f>
        <v/>
      </c>
      <c r="O120" s="11" t="str">
        <f>IF(COUNTA(G120,K120)=0,"",(IF(G120="",0,G120*Config!$B$11)+IF(K120="",0,K120*Config!$B$12))/(IF(G120="",0,Config!$B$11)+IF(K120="",0,Config!$B$12)))</f>
        <v/>
      </c>
      <c r="P120" s="11" t="str">
        <f>IF(COUNTA(H120,L120)=0,"",((IF(H120="No",Config!$B$11,0)+IF(L120="No",Config!$B$12,0))/(IF(H120&lt;&gt;"",Config!$B$11,0)+IF(L120&lt;&gt;"",Config!$B$12,0)))*Config!$B$5)</f>
        <v/>
      </c>
      <c r="Q120" s="12"/>
      <c r="R120" s="12"/>
      <c r="S120" s="10"/>
      <c r="T120" s="13" t="str">
        <f>IF(COUNT(M120:P120)=0,"",M120*Config!$B$2+N120*Config!$B$3+O120*Config!$B$4+P120)</f>
        <v/>
      </c>
      <c r="U120" s="14" t="str">
        <f>IF(T120="","",IF(T120&gt;=Config!$B$7,"MUST SEE",IF(T120&gt;=Config!$B$8,"ALTO",IF(T120&gt;=Config!$B$9,"VALUTA","SKIP"))))</f>
        <v/>
      </c>
      <c r="V120" s="14" t="str">
        <f>IF(T120="","",IF(T120&gt;=Config!$B$9,"SI","NO"))</f>
        <v/>
      </c>
      <c r="W120" s="14" t="str">
        <f t="shared" si="1"/>
        <v/>
      </c>
      <c r="X120" s="14" t="str">
        <f t="shared" si="2"/>
        <v/>
      </c>
      <c r="Z120" s="14" t="s">
        <v>41</v>
      </c>
      <c r="AA120" s="14" t="s">
        <v>42</v>
      </c>
    </row>
    <row r="121" ht="15.75" customHeight="1">
      <c r="A121" s="9">
        <v>46179.0</v>
      </c>
      <c r="B121" s="10" t="s">
        <v>145</v>
      </c>
      <c r="C121" s="10" t="s">
        <v>47</v>
      </c>
      <c r="D121" s="10" t="s">
        <v>167</v>
      </c>
      <c r="E121" s="15">
        <v>9.0</v>
      </c>
      <c r="F121" s="15">
        <v>4.0</v>
      </c>
      <c r="G121" s="15">
        <v>5.0</v>
      </c>
      <c r="H121" s="15" t="s">
        <v>49</v>
      </c>
      <c r="I121" s="15">
        <v>10.0</v>
      </c>
      <c r="J121" s="15">
        <v>4.0</v>
      </c>
      <c r="K121" s="15">
        <v>5.0</v>
      </c>
      <c r="L121" s="15" t="s">
        <v>49</v>
      </c>
      <c r="M121" s="11">
        <f>IF(COUNTA(E121,I121)=0,"",(IF(E121="",0,E121*Config!$B$11)+IF(I121="",0,I121*Config!$B$12))/(IF(E121="",0,Config!$B$11)+IF(I121="",0,Config!$B$12)))</f>
        <v>9.5</v>
      </c>
      <c r="N121" s="11">
        <f>IF(COUNTA(F121,J121)=0,"",(IF(F121="",0,F121*Config!$B$11)+IF(J121="",0,J121*Config!$B$12))/(IF(F121="",0,Config!$B$11)+IF(J121="",0,Config!$B$12)))</f>
        <v>4</v>
      </c>
      <c r="O121" s="11">
        <f>IF(COUNTA(G121,K121)=0,"",(IF(G121="",0,G121*Config!$B$11)+IF(K121="",0,K121*Config!$B$12))/(IF(G121="",0,Config!$B$11)+IF(K121="",0,Config!$B$12)))</f>
        <v>5</v>
      </c>
      <c r="P121" s="11">
        <f>IF(COUNTA(H121,L121)=0,"",((IF(H121="No",Config!$B$11,0)+IF(L121="No",Config!$B$12,0))/(IF(H121&lt;&gt;"",Config!$B$11,0)+IF(L121&lt;&gt;"",Config!$B$12,0)))*Config!$B$5)</f>
        <v>1</v>
      </c>
      <c r="Q121" s="12"/>
      <c r="R121" s="12"/>
      <c r="S121" s="10"/>
      <c r="T121" s="13">
        <f>IF(COUNT(M121:P121)=0,"",M121*Config!$B$2+N121*Config!$B$3+O121*Config!$B$4+P121)</f>
        <v>33</v>
      </c>
      <c r="U121" s="14" t="str">
        <f>IF(T121="","",IF(T121&gt;=Config!$B$7,"MUST SEE",IF(T121&gt;=Config!$B$8,"ALTO",IF(T121&gt;=Config!$B$9,"VALUTA","SKIP"))))</f>
        <v>MUST SEE</v>
      </c>
      <c r="V121" s="14" t="str">
        <f>IF(T121="","",IF(T121&gt;=Config!$B$9,"SI","NO"))</f>
        <v>SI</v>
      </c>
      <c r="W121" s="14" t="str">
        <f t="shared" si="1"/>
        <v/>
      </c>
      <c r="X121" s="14">
        <f t="shared" si="2"/>
        <v>2</v>
      </c>
      <c r="Z121" s="14" t="s">
        <v>41</v>
      </c>
      <c r="AA121" s="14" t="s">
        <v>42</v>
      </c>
    </row>
    <row r="122" ht="15.75" customHeight="1">
      <c r="A122" s="9">
        <v>46179.0</v>
      </c>
      <c r="B122" s="10" t="s">
        <v>145</v>
      </c>
      <c r="C122" s="10" t="s">
        <v>47</v>
      </c>
      <c r="D122" s="10" t="s">
        <v>168</v>
      </c>
      <c r="E122" s="15">
        <v>8.0</v>
      </c>
      <c r="F122" s="15">
        <v>4.0</v>
      </c>
      <c r="G122" s="15">
        <v>4.0</v>
      </c>
      <c r="H122" s="15" t="s">
        <v>49</v>
      </c>
      <c r="I122" s="15">
        <v>8.0</v>
      </c>
      <c r="J122" s="15">
        <v>3.0</v>
      </c>
      <c r="K122" s="15">
        <v>5.0</v>
      </c>
      <c r="L122" s="15" t="s">
        <v>49</v>
      </c>
      <c r="M122" s="11">
        <f>IF(COUNTA(E122,I122)=0,"",(IF(E122="",0,E122*Config!$B$11)+IF(I122="",0,I122*Config!$B$12))/(IF(E122="",0,Config!$B$11)+IF(I122="",0,Config!$B$12)))</f>
        <v>8</v>
      </c>
      <c r="N122" s="11">
        <f>IF(COUNTA(F122,J122)=0,"",(IF(F122="",0,F122*Config!$B$11)+IF(J122="",0,J122*Config!$B$12))/(IF(F122="",0,Config!$B$11)+IF(J122="",0,Config!$B$12)))</f>
        <v>3.5</v>
      </c>
      <c r="O122" s="11">
        <f>IF(COUNTA(G122,K122)=0,"",(IF(G122="",0,G122*Config!$B$11)+IF(K122="",0,K122*Config!$B$12))/(IF(G122="",0,Config!$B$11)+IF(K122="",0,Config!$B$12)))</f>
        <v>4.5</v>
      </c>
      <c r="P122" s="11">
        <f>IF(COUNTA(H122,L122)=0,"",((IF(H122="No",Config!$B$11,0)+IF(L122="No",Config!$B$12,0))/(IF(H122&lt;&gt;"",Config!$B$11,0)+IF(L122&lt;&gt;"",Config!$B$12,0)))*Config!$B$5)</f>
        <v>1</v>
      </c>
      <c r="Q122" s="12"/>
      <c r="R122" s="12"/>
      <c r="S122" s="10"/>
      <c r="T122" s="13">
        <f>IF(COUNT(M122:P122)=0,"",M122*Config!$B$2+N122*Config!$B$3+O122*Config!$B$4+P122)</f>
        <v>28.5</v>
      </c>
      <c r="U122" s="14" t="str">
        <f>IF(T122="","",IF(T122&gt;=Config!$B$7,"MUST SEE",IF(T122&gt;=Config!$B$8,"ALTO",IF(T122&gt;=Config!$B$9,"VALUTA","SKIP"))))</f>
        <v>MUST SEE</v>
      </c>
      <c r="V122" s="14" t="str">
        <f>IF(T122="","",IF(T122&gt;=Config!$B$9,"SI","NO"))</f>
        <v>SI</v>
      </c>
      <c r="W122" s="14" t="str">
        <f t="shared" si="1"/>
        <v/>
      </c>
      <c r="X122" s="14">
        <f t="shared" si="2"/>
        <v>6</v>
      </c>
      <c r="Z122" s="14" t="s">
        <v>41</v>
      </c>
      <c r="AA122" s="14" t="s">
        <v>42</v>
      </c>
    </row>
    <row r="123" ht="15.75" customHeight="1">
      <c r="A123" s="9">
        <v>46179.0</v>
      </c>
      <c r="B123" s="10" t="s">
        <v>145</v>
      </c>
      <c r="C123" s="10" t="s">
        <v>47</v>
      </c>
      <c r="D123" s="10" t="s">
        <v>169</v>
      </c>
      <c r="E123" s="10"/>
      <c r="F123" s="10"/>
      <c r="G123" s="10"/>
      <c r="H123" s="10"/>
      <c r="I123" s="10"/>
      <c r="J123" s="10"/>
      <c r="K123" s="10"/>
      <c r="L123" s="10"/>
      <c r="M123" s="11" t="str">
        <f>IF(COUNTA(E123,I123)=0,"",(IF(E123="",0,E123*Config!$B$11)+IF(I123="",0,I123*Config!$B$12))/(IF(E123="",0,Config!$B$11)+IF(I123="",0,Config!$B$12)))</f>
        <v/>
      </c>
      <c r="N123" s="11" t="str">
        <f>IF(COUNTA(F123,J123)=0,"",(IF(F123="",0,F123*Config!$B$11)+IF(J123="",0,J123*Config!$B$12))/(IF(F123="",0,Config!$B$11)+IF(J123="",0,Config!$B$12)))</f>
        <v/>
      </c>
      <c r="O123" s="11" t="str">
        <f>IF(COUNTA(G123,K123)=0,"",(IF(G123="",0,G123*Config!$B$11)+IF(K123="",0,K123*Config!$B$12))/(IF(G123="",0,Config!$B$11)+IF(K123="",0,Config!$B$12)))</f>
        <v/>
      </c>
      <c r="P123" s="11" t="str">
        <f>IF(COUNTA(H123,L123)=0,"",((IF(H123="No",Config!$B$11,0)+IF(L123="No",Config!$B$12,0))/(IF(H123&lt;&gt;"",Config!$B$11,0)+IF(L123&lt;&gt;"",Config!$B$12,0)))*Config!$B$5)</f>
        <v/>
      </c>
      <c r="Q123" s="12"/>
      <c r="R123" s="12"/>
      <c r="S123" s="10"/>
      <c r="T123" s="13" t="str">
        <f>IF(COUNT(M123:P123)=0,"",M123*Config!$B$2+N123*Config!$B$3+O123*Config!$B$4+P123)</f>
        <v/>
      </c>
      <c r="U123" s="14" t="str">
        <f>IF(T123="","",IF(T123&gt;=Config!$B$7,"MUST SEE",IF(T123&gt;=Config!$B$8,"ALTO",IF(T123&gt;=Config!$B$9,"VALUTA","SKIP"))))</f>
        <v/>
      </c>
      <c r="V123" s="14" t="str">
        <f>IF(T123="","",IF(T123&gt;=Config!$B$9,"SI","NO"))</f>
        <v/>
      </c>
      <c r="W123" s="14" t="str">
        <f t="shared" si="1"/>
        <v/>
      </c>
      <c r="X123" s="14" t="str">
        <f t="shared" si="2"/>
        <v/>
      </c>
      <c r="Z123" s="14" t="s">
        <v>41</v>
      </c>
      <c r="AA123" s="14" t="s">
        <v>42</v>
      </c>
    </row>
    <row r="124" ht="15.75" customHeight="1">
      <c r="A124" s="9">
        <v>46179.0</v>
      </c>
      <c r="B124" s="10" t="s">
        <v>145</v>
      </c>
      <c r="C124" s="10" t="s">
        <v>47</v>
      </c>
      <c r="D124" s="10" t="s">
        <v>170</v>
      </c>
      <c r="E124" s="10"/>
      <c r="F124" s="10"/>
      <c r="G124" s="10"/>
      <c r="H124" s="10"/>
      <c r="I124" s="10"/>
      <c r="J124" s="10"/>
      <c r="K124" s="10"/>
      <c r="L124" s="10"/>
      <c r="M124" s="11" t="str">
        <f>IF(COUNTA(E124,I124)=0,"",(IF(E124="",0,E124*Config!$B$11)+IF(I124="",0,I124*Config!$B$12))/(IF(E124="",0,Config!$B$11)+IF(I124="",0,Config!$B$12)))</f>
        <v/>
      </c>
      <c r="N124" s="11" t="str">
        <f>IF(COUNTA(F124,J124)=0,"",(IF(F124="",0,F124*Config!$B$11)+IF(J124="",0,J124*Config!$B$12))/(IF(F124="",0,Config!$B$11)+IF(J124="",0,Config!$B$12)))</f>
        <v/>
      </c>
      <c r="O124" s="11" t="str">
        <f>IF(COUNTA(G124,K124)=0,"",(IF(G124="",0,G124*Config!$B$11)+IF(K124="",0,K124*Config!$B$12))/(IF(G124="",0,Config!$B$11)+IF(K124="",0,Config!$B$12)))</f>
        <v/>
      </c>
      <c r="P124" s="11" t="str">
        <f>IF(COUNTA(H124,L124)=0,"",((IF(H124="No",Config!$B$11,0)+IF(L124="No",Config!$B$12,0))/(IF(H124&lt;&gt;"",Config!$B$11,0)+IF(L124&lt;&gt;"",Config!$B$12,0)))*Config!$B$5)</f>
        <v/>
      </c>
      <c r="Q124" s="12"/>
      <c r="R124" s="12"/>
      <c r="S124" s="10"/>
      <c r="T124" s="13" t="str">
        <f>IF(COUNT(M124:P124)=0,"",M124*Config!$B$2+N124*Config!$B$3+O124*Config!$B$4+P124)</f>
        <v/>
      </c>
      <c r="U124" s="14" t="str">
        <f>IF(T124="","",IF(T124&gt;=Config!$B$7,"MUST SEE",IF(T124&gt;=Config!$B$8,"ALTO",IF(T124&gt;=Config!$B$9,"VALUTA","SKIP"))))</f>
        <v/>
      </c>
      <c r="V124" s="14" t="str">
        <f>IF(T124="","",IF(T124&gt;=Config!$B$9,"SI","NO"))</f>
        <v/>
      </c>
      <c r="W124" s="14" t="str">
        <f t="shared" si="1"/>
        <v/>
      </c>
      <c r="X124" s="14" t="str">
        <f t="shared" si="2"/>
        <v/>
      </c>
      <c r="Z124" s="14" t="s">
        <v>41</v>
      </c>
      <c r="AA124" s="14" t="s">
        <v>42</v>
      </c>
    </row>
    <row r="125" ht="15.75" customHeight="1">
      <c r="A125" s="9">
        <v>46179.0</v>
      </c>
      <c r="B125" s="10" t="s">
        <v>145</v>
      </c>
      <c r="C125" s="10" t="s">
        <v>47</v>
      </c>
      <c r="D125" s="10" t="s">
        <v>171</v>
      </c>
      <c r="E125" s="10"/>
      <c r="F125" s="10"/>
      <c r="G125" s="10"/>
      <c r="H125" s="10"/>
      <c r="I125" s="15">
        <v>7.0</v>
      </c>
      <c r="J125" s="15">
        <v>3.0</v>
      </c>
      <c r="K125" s="15">
        <v>4.0</v>
      </c>
      <c r="L125" s="15" t="s">
        <v>49</v>
      </c>
      <c r="M125" s="11">
        <f>IF(COUNTA(E125,I125)=0,"",(IF(E125="",0,E125*Config!$B$11)+IF(I125="",0,I125*Config!$B$12))/(IF(E125="",0,Config!$B$11)+IF(I125="",0,Config!$B$12)))</f>
        <v>7</v>
      </c>
      <c r="N125" s="11">
        <f>IF(COUNTA(F125,J125)=0,"",(IF(F125="",0,F125*Config!$B$11)+IF(J125="",0,J125*Config!$B$12))/(IF(F125="",0,Config!$B$11)+IF(J125="",0,Config!$B$12)))</f>
        <v>3</v>
      </c>
      <c r="O125" s="11">
        <f>IF(COUNTA(G125,K125)=0,"",(IF(G125="",0,G125*Config!$B$11)+IF(K125="",0,K125*Config!$B$12))/(IF(G125="",0,Config!$B$11)+IF(K125="",0,Config!$B$12)))</f>
        <v>4</v>
      </c>
      <c r="P125" s="11">
        <f>IF(COUNTA(H125,L125)=0,"",((IF(H125="No",Config!$B$11,0)+IF(L125="No",Config!$B$12,0))/(IF(H125&lt;&gt;"",Config!$B$11,0)+IF(L125&lt;&gt;"",Config!$B$12,0)))*Config!$B$5)</f>
        <v>1</v>
      </c>
      <c r="Q125" s="12"/>
      <c r="R125" s="12"/>
      <c r="S125" s="10"/>
      <c r="T125" s="13">
        <f>IF(COUNT(M125:P125)=0,"",M125*Config!$B$2+N125*Config!$B$3+O125*Config!$B$4+P125)</f>
        <v>25</v>
      </c>
      <c r="U125" s="14" t="str">
        <f>IF(T125="","",IF(T125&gt;=Config!$B$7,"MUST SEE",IF(T125&gt;=Config!$B$8,"ALTO",IF(T125&gt;=Config!$B$9,"VALUTA","SKIP"))))</f>
        <v>MUST SEE</v>
      </c>
      <c r="V125" s="14" t="str">
        <f>IF(T125="","",IF(T125&gt;=Config!$B$9,"SI","NO"))</f>
        <v>SI</v>
      </c>
      <c r="W125" s="14" t="str">
        <f t="shared" si="1"/>
        <v/>
      </c>
      <c r="X125" s="14">
        <f t="shared" si="2"/>
        <v>10</v>
      </c>
      <c r="Z125" s="14" t="s">
        <v>41</v>
      </c>
      <c r="AA125" s="14" t="s">
        <v>42</v>
      </c>
    </row>
    <row r="126" ht="15.75" customHeight="1">
      <c r="A126" s="9">
        <v>46179.0</v>
      </c>
      <c r="B126" s="10" t="s">
        <v>145</v>
      </c>
      <c r="C126" s="10" t="s">
        <v>47</v>
      </c>
      <c r="D126" s="10" t="s">
        <v>172</v>
      </c>
      <c r="E126" s="10"/>
      <c r="F126" s="10"/>
      <c r="G126" s="10"/>
      <c r="H126" s="10"/>
      <c r="I126" s="15">
        <v>10.0</v>
      </c>
      <c r="J126" s="15">
        <v>5.0</v>
      </c>
      <c r="K126" s="15">
        <v>5.0</v>
      </c>
      <c r="L126" s="15" t="s">
        <v>49</v>
      </c>
      <c r="M126" s="11">
        <f>IF(COUNTA(E126,I126)=0,"",(IF(E126="",0,E126*Config!$B$11)+IF(I126="",0,I126*Config!$B$12))/(IF(E126="",0,Config!$B$11)+IF(I126="",0,Config!$B$12)))</f>
        <v>10</v>
      </c>
      <c r="N126" s="11">
        <f>IF(COUNTA(F126,J126)=0,"",(IF(F126="",0,F126*Config!$B$11)+IF(J126="",0,J126*Config!$B$12))/(IF(F126="",0,Config!$B$11)+IF(J126="",0,Config!$B$12)))</f>
        <v>5</v>
      </c>
      <c r="O126" s="11">
        <f>IF(COUNTA(G126,K126)=0,"",(IF(G126="",0,G126*Config!$B$11)+IF(K126="",0,K126*Config!$B$12))/(IF(G126="",0,Config!$B$11)+IF(K126="",0,Config!$B$12)))</f>
        <v>5</v>
      </c>
      <c r="P126" s="11">
        <f>IF(COUNTA(H126,L126)=0,"",((IF(H126="No",Config!$B$11,0)+IF(L126="No",Config!$B$12,0))/(IF(H126&lt;&gt;"",Config!$B$11,0)+IF(L126&lt;&gt;"",Config!$B$12,0)))*Config!$B$5)</f>
        <v>1</v>
      </c>
      <c r="Q126" s="12"/>
      <c r="R126" s="12"/>
      <c r="S126" s="10"/>
      <c r="T126" s="13">
        <f>IF(COUNT(M126:P126)=0,"",M126*Config!$B$2+N126*Config!$B$3+O126*Config!$B$4+P126)</f>
        <v>36</v>
      </c>
      <c r="U126" s="14" t="str">
        <f>IF(T126="","",IF(T126&gt;=Config!$B$7,"MUST SEE",IF(T126&gt;=Config!$B$8,"ALTO",IF(T126&gt;=Config!$B$9,"VALUTA","SKIP"))))</f>
        <v>MUST SEE</v>
      </c>
      <c r="V126" s="14" t="str">
        <f>IF(T126="","",IF(T126&gt;=Config!$B$9,"SI","NO"))</f>
        <v>SI</v>
      </c>
      <c r="W126" s="14" t="str">
        <f t="shared" si="1"/>
        <v/>
      </c>
      <c r="X126" s="14">
        <f t="shared" si="2"/>
        <v>1</v>
      </c>
      <c r="Z126" s="14" t="s">
        <v>41</v>
      </c>
      <c r="AA126" s="14" t="s">
        <v>42</v>
      </c>
    </row>
    <row r="127" ht="15.75" customHeight="1">
      <c r="A127" s="9">
        <v>46179.0</v>
      </c>
      <c r="B127" s="10" t="s">
        <v>145</v>
      </c>
      <c r="C127" s="10" t="s">
        <v>47</v>
      </c>
      <c r="D127" s="10" t="s">
        <v>173</v>
      </c>
      <c r="E127" s="10"/>
      <c r="F127" s="10"/>
      <c r="G127" s="10"/>
      <c r="H127" s="10"/>
      <c r="I127" s="10"/>
      <c r="J127" s="10"/>
      <c r="K127" s="10"/>
      <c r="L127" s="10"/>
      <c r="M127" s="11" t="str">
        <f>IF(COUNTA(E127,I127)=0,"",(IF(E127="",0,E127*Config!$B$11)+IF(I127="",0,I127*Config!$B$12))/(IF(E127="",0,Config!$B$11)+IF(I127="",0,Config!$B$12)))</f>
        <v/>
      </c>
      <c r="N127" s="11" t="str">
        <f>IF(COUNTA(F127,J127)=0,"",(IF(F127="",0,F127*Config!$B$11)+IF(J127="",0,J127*Config!$B$12))/(IF(F127="",0,Config!$B$11)+IF(J127="",0,Config!$B$12)))</f>
        <v/>
      </c>
      <c r="O127" s="11" t="str">
        <f>IF(COUNTA(G127,K127)=0,"",(IF(G127="",0,G127*Config!$B$11)+IF(K127="",0,K127*Config!$B$12))/(IF(G127="",0,Config!$B$11)+IF(K127="",0,Config!$B$12)))</f>
        <v/>
      </c>
      <c r="P127" s="11" t="str">
        <f>IF(COUNTA(H127,L127)=0,"",((IF(H127="No",Config!$B$11,0)+IF(L127="No",Config!$B$12,0))/(IF(H127&lt;&gt;"",Config!$B$11,0)+IF(L127&lt;&gt;"",Config!$B$12,0)))*Config!$B$5)</f>
        <v/>
      </c>
      <c r="Q127" s="12"/>
      <c r="R127" s="12"/>
      <c r="S127" s="10"/>
      <c r="T127" s="13" t="str">
        <f>IF(COUNT(M127:P127)=0,"",M127*Config!$B$2+N127*Config!$B$3+O127*Config!$B$4+P127)</f>
        <v/>
      </c>
      <c r="U127" s="14" t="str">
        <f>IF(T127="","",IF(T127&gt;=Config!$B$7,"MUST SEE",IF(T127&gt;=Config!$B$8,"ALTO",IF(T127&gt;=Config!$B$9,"VALUTA","SKIP"))))</f>
        <v/>
      </c>
      <c r="V127" s="14" t="str">
        <f>IF(T127="","",IF(T127&gt;=Config!$B$9,"SI","NO"))</f>
        <v/>
      </c>
      <c r="W127" s="14" t="str">
        <f t="shared" si="1"/>
        <v/>
      </c>
      <c r="X127" s="14" t="str">
        <f t="shared" si="2"/>
        <v/>
      </c>
      <c r="Z127" s="14" t="s">
        <v>41</v>
      </c>
      <c r="AA127" s="14" t="s">
        <v>42</v>
      </c>
    </row>
    <row r="128" ht="15.75" customHeight="1">
      <c r="A128" s="9">
        <v>46179.0</v>
      </c>
      <c r="B128" s="10" t="s">
        <v>145</v>
      </c>
      <c r="C128" s="10" t="s">
        <v>47</v>
      </c>
      <c r="D128" s="10" t="s">
        <v>174</v>
      </c>
      <c r="E128" s="10"/>
      <c r="F128" s="10"/>
      <c r="G128" s="10"/>
      <c r="H128" s="10"/>
      <c r="I128" s="10"/>
      <c r="J128" s="10"/>
      <c r="K128" s="10"/>
      <c r="L128" s="10"/>
      <c r="M128" s="11" t="str">
        <f>IF(COUNTA(E128,I128)=0,"",(IF(E128="",0,E128*Config!$B$11)+IF(I128="",0,I128*Config!$B$12))/(IF(E128="",0,Config!$B$11)+IF(I128="",0,Config!$B$12)))</f>
        <v/>
      </c>
      <c r="N128" s="11" t="str">
        <f>IF(COUNTA(F128,J128)=0,"",(IF(F128="",0,F128*Config!$B$11)+IF(J128="",0,J128*Config!$B$12))/(IF(F128="",0,Config!$B$11)+IF(J128="",0,Config!$B$12)))</f>
        <v/>
      </c>
      <c r="O128" s="11" t="str">
        <f>IF(COUNTA(G128,K128)=0,"",(IF(G128="",0,G128*Config!$B$11)+IF(K128="",0,K128*Config!$B$12))/(IF(G128="",0,Config!$B$11)+IF(K128="",0,Config!$B$12)))</f>
        <v/>
      </c>
      <c r="P128" s="11" t="str">
        <f>IF(COUNTA(H128,L128)=0,"",((IF(H128="No",Config!$B$11,0)+IF(L128="No",Config!$B$12,0))/(IF(H128&lt;&gt;"",Config!$B$11,0)+IF(L128&lt;&gt;"",Config!$B$12,0)))*Config!$B$5)</f>
        <v/>
      </c>
      <c r="Q128" s="12"/>
      <c r="R128" s="12"/>
      <c r="S128" s="10"/>
      <c r="T128" s="13" t="str">
        <f>IF(COUNT(M128:P128)=0,"",M128*Config!$B$2+N128*Config!$B$3+O128*Config!$B$4+P128)</f>
        <v/>
      </c>
      <c r="U128" s="14" t="str">
        <f>IF(T128="","",IF(T128&gt;=Config!$B$7,"MUST SEE",IF(T128&gt;=Config!$B$8,"ALTO",IF(T128&gt;=Config!$B$9,"VALUTA","SKIP"))))</f>
        <v/>
      </c>
      <c r="V128" s="14" t="str">
        <f>IF(T128="","",IF(T128&gt;=Config!$B$9,"SI","NO"))</f>
        <v/>
      </c>
      <c r="W128" s="14" t="str">
        <f t="shared" si="1"/>
        <v/>
      </c>
      <c r="X128" s="14" t="str">
        <f t="shared" si="2"/>
        <v/>
      </c>
      <c r="Z128" s="14" t="s">
        <v>41</v>
      </c>
      <c r="AA128" s="14" t="s">
        <v>42</v>
      </c>
    </row>
    <row r="129" ht="15.75" customHeight="1">
      <c r="A129" s="9">
        <v>46179.0</v>
      </c>
      <c r="B129" s="10" t="s">
        <v>145</v>
      </c>
      <c r="C129" s="10" t="s">
        <v>47</v>
      </c>
      <c r="D129" s="10" t="s">
        <v>175</v>
      </c>
      <c r="E129" s="10"/>
      <c r="F129" s="10"/>
      <c r="G129" s="10"/>
      <c r="H129" s="10"/>
      <c r="I129" s="10"/>
      <c r="J129" s="10"/>
      <c r="K129" s="10"/>
      <c r="L129" s="10"/>
      <c r="M129" s="11" t="str">
        <f>IF(COUNTA(E129,I129)=0,"",(IF(E129="",0,E129*Config!$B$11)+IF(I129="",0,I129*Config!$B$12))/(IF(E129="",0,Config!$B$11)+IF(I129="",0,Config!$B$12)))</f>
        <v/>
      </c>
      <c r="N129" s="11" t="str">
        <f>IF(COUNTA(F129,J129)=0,"",(IF(F129="",0,F129*Config!$B$11)+IF(J129="",0,J129*Config!$B$12))/(IF(F129="",0,Config!$B$11)+IF(J129="",0,Config!$B$12)))</f>
        <v/>
      </c>
      <c r="O129" s="11" t="str">
        <f>IF(COUNTA(G129,K129)=0,"",(IF(G129="",0,G129*Config!$B$11)+IF(K129="",0,K129*Config!$B$12))/(IF(G129="",0,Config!$B$11)+IF(K129="",0,Config!$B$12)))</f>
        <v/>
      </c>
      <c r="P129" s="11" t="str">
        <f>IF(COUNTA(H129,L129)=0,"",((IF(H129="No",Config!$B$11,0)+IF(L129="No",Config!$B$12,0))/(IF(H129&lt;&gt;"",Config!$B$11,0)+IF(L129&lt;&gt;"",Config!$B$12,0)))*Config!$B$5)</f>
        <v/>
      </c>
      <c r="Q129" s="12"/>
      <c r="R129" s="12"/>
      <c r="S129" s="10"/>
      <c r="T129" s="13" t="str">
        <f>IF(COUNT(M129:P129)=0,"",M129*Config!$B$2+N129*Config!$B$3+O129*Config!$B$4+P129)</f>
        <v/>
      </c>
      <c r="U129" s="14" t="str">
        <f>IF(T129="","",IF(T129&gt;=Config!$B$7,"MUST SEE",IF(T129&gt;=Config!$B$8,"ALTO",IF(T129&gt;=Config!$B$9,"VALUTA","SKIP"))))</f>
        <v/>
      </c>
      <c r="V129" s="14" t="str">
        <f>IF(T129="","",IF(T129&gt;=Config!$B$9,"SI","NO"))</f>
        <v/>
      </c>
      <c r="W129" s="14" t="str">
        <f t="shared" si="1"/>
        <v/>
      </c>
      <c r="X129" s="14" t="str">
        <f t="shared" si="2"/>
        <v/>
      </c>
      <c r="Z129" s="14" t="s">
        <v>41</v>
      </c>
      <c r="AA129" s="14" t="s">
        <v>42</v>
      </c>
    </row>
    <row r="130" ht="15.75" customHeight="1">
      <c r="A130" s="9">
        <v>46179.0</v>
      </c>
      <c r="B130" s="10" t="s">
        <v>145</v>
      </c>
      <c r="C130" s="10" t="s">
        <v>47</v>
      </c>
      <c r="D130" s="10" t="s">
        <v>176</v>
      </c>
      <c r="E130" s="10"/>
      <c r="F130" s="10"/>
      <c r="G130" s="10"/>
      <c r="H130" s="10"/>
      <c r="I130" s="15">
        <v>8.0</v>
      </c>
      <c r="J130" s="15">
        <v>3.0</v>
      </c>
      <c r="K130" s="15">
        <v>4.0</v>
      </c>
      <c r="L130" s="15" t="s">
        <v>49</v>
      </c>
      <c r="M130" s="11">
        <f>IF(COUNTA(E130,I130)=0,"",(IF(E130="",0,E130*Config!$B$11)+IF(I130="",0,I130*Config!$B$12))/(IF(E130="",0,Config!$B$11)+IF(I130="",0,Config!$B$12)))</f>
        <v>8</v>
      </c>
      <c r="N130" s="11">
        <f>IF(COUNTA(F130,J130)=0,"",(IF(F130="",0,F130*Config!$B$11)+IF(J130="",0,J130*Config!$B$12))/(IF(F130="",0,Config!$B$11)+IF(J130="",0,Config!$B$12)))</f>
        <v>3</v>
      </c>
      <c r="O130" s="11">
        <f>IF(COUNTA(G130,K130)=0,"",(IF(G130="",0,G130*Config!$B$11)+IF(K130="",0,K130*Config!$B$12))/(IF(G130="",0,Config!$B$11)+IF(K130="",0,Config!$B$12)))</f>
        <v>4</v>
      </c>
      <c r="P130" s="11">
        <f>IF(COUNTA(H130,L130)=0,"",((IF(H130="No",Config!$B$11,0)+IF(L130="No",Config!$B$12,0))/(IF(H130&lt;&gt;"",Config!$B$11,0)+IF(L130&lt;&gt;"",Config!$B$12,0)))*Config!$B$5)</f>
        <v>1</v>
      </c>
      <c r="Q130" s="12"/>
      <c r="R130" s="12"/>
      <c r="S130" s="10"/>
      <c r="T130" s="13">
        <f>IF(COUNT(M130:P130)=0,"",M130*Config!$B$2+N130*Config!$B$3+O130*Config!$B$4+P130)</f>
        <v>27</v>
      </c>
      <c r="U130" s="14" t="str">
        <f>IF(T130="","",IF(T130&gt;=Config!$B$7,"MUST SEE",IF(T130&gt;=Config!$B$8,"ALTO",IF(T130&gt;=Config!$B$9,"VALUTA","SKIP"))))</f>
        <v>MUST SEE</v>
      </c>
      <c r="V130" s="14" t="str">
        <f>IF(T130="","",IF(T130&gt;=Config!$B$9,"SI","NO"))</f>
        <v>SI</v>
      </c>
      <c r="W130" s="14" t="str">
        <f t="shared" si="1"/>
        <v/>
      </c>
      <c r="X130" s="14">
        <f t="shared" si="2"/>
        <v>7</v>
      </c>
      <c r="Z130" s="14" t="s">
        <v>41</v>
      </c>
      <c r="AA130" s="14" t="s">
        <v>42</v>
      </c>
    </row>
    <row r="131" ht="15.75" customHeight="1">
      <c r="A131" s="9">
        <v>46179.0</v>
      </c>
      <c r="B131" s="10" t="s">
        <v>145</v>
      </c>
      <c r="C131" s="10" t="s">
        <v>47</v>
      </c>
      <c r="D131" s="10" t="s">
        <v>177</v>
      </c>
      <c r="E131" s="10"/>
      <c r="F131" s="10"/>
      <c r="G131" s="10"/>
      <c r="H131" s="10"/>
      <c r="I131" s="10"/>
      <c r="J131" s="10"/>
      <c r="K131" s="10"/>
      <c r="L131" s="10"/>
      <c r="M131" s="11" t="str">
        <f>IF(COUNTA(E131,I131)=0,"",(IF(E131="",0,E131*Config!$B$11)+IF(I131="",0,I131*Config!$B$12))/(IF(E131="",0,Config!$B$11)+IF(I131="",0,Config!$B$12)))</f>
        <v/>
      </c>
      <c r="N131" s="11" t="str">
        <f>IF(COUNTA(F131,J131)=0,"",(IF(F131="",0,F131*Config!$B$11)+IF(J131="",0,J131*Config!$B$12))/(IF(F131="",0,Config!$B$11)+IF(J131="",0,Config!$B$12)))</f>
        <v/>
      </c>
      <c r="O131" s="11" t="str">
        <f>IF(COUNTA(G131,K131)=0,"",(IF(G131="",0,G131*Config!$B$11)+IF(K131="",0,K131*Config!$B$12))/(IF(G131="",0,Config!$B$11)+IF(K131="",0,Config!$B$12)))</f>
        <v/>
      </c>
      <c r="P131" s="11" t="str">
        <f>IF(COUNTA(H131,L131)=0,"",((IF(H131="No",Config!$B$11,0)+IF(L131="No",Config!$B$12,0))/(IF(H131&lt;&gt;"",Config!$B$11,0)+IF(L131&lt;&gt;"",Config!$B$12,0)))*Config!$B$5)</f>
        <v/>
      </c>
      <c r="Q131" s="12"/>
      <c r="R131" s="12"/>
      <c r="S131" s="10"/>
      <c r="T131" s="13" t="str">
        <f>IF(COUNT(M131:P131)=0,"",M131*Config!$B$2+N131*Config!$B$3+O131*Config!$B$4+P131)</f>
        <v/>
      </c>
      <c r="U131" s="14" t="str">
        <f>IF(T131="","",IF(T131&gt;=Config!$B$7,"MUST SEE",IF(T131&gt;=Config!$B$8,"ALTO",IF(T131&gt;=Config!$B$9,"VALUTA","SKIP"))))</f>
        <v/>
      </c>
      <c r="V131" s="14" t="str">
        <f>IF(T131="","",IF(T131&gt;=Config!$B$9,"SI","NO"))</f>
        <v/>
      </c>
      <c r="W131" s="14" t="str">
        <f t="shared" si="1"/>
        <v/>
      </c>
      <c r="X131" s="14" t="str">
        <f t="shared" si="2"/>
        <v/>
      </c>
      <c r="Z131" s="14" t="s">
        <v>41</v>
      </c>
      <c r="AA131" s="14" t="s">
        <v>42</v>
      </c>
    </row>
    <row r="132" ht="15.75" customHeight="1">
      <c r="A132" s="9">
        <v>46179.0</v>
      </c>
      <c r="B132" s="10" t="s">
        <v>145</v>
      </c>
      <c r="C132" s="10" t="s">
        <v>47</v>
      </c>
      <c r="D132" s="10" t="s">
        <v>178</v>
      </c>
      <c r="E132" s="10"/>
      <c r="F132" s="10"/>
      <c r="G132" s="10"/>
      <c r="H132" s="10"/>
      <c r="I132" s="15">
        <v>9.0</v>
      </c>
      <c r="J132" s="15">
        <v>4.0</v>
      </c>
      <c r="K132" s="15">
        <v>5.0</v>
      </c>
      <c r="L132" s="15" t="s">
        <v>49</v>
      </c>
      <c r="M132" s="11">
        <f>IF(COUNTA(E132,I132)=0,"",(IF(E132="",0,E132*Config!$B$11)+IF(I132="",0,I132*Config!$B$12))/(IF(E132="",0,Config!$B$11)+IF(I132="",0,Config!$B$12)))</f>
        <v>9</v>
      </c>
      <c r="N132" s="11">
        <f>IF(COUNTA(F132,J132)=0,"",(IF(F132="",0,F132*Config!$B$11)+IF(J132="",0,J132*Config!$B$12))/(IF(F132="",0,Config!$B$11)+IF(J132="",0,Config!$B$12)))</f>
        <v>4</v>
      </c>
      <c r="O132" s="11">
        <f>IF(COUNTA(G132,K132)=0,"",(IF(G132="",0,G132*Config!$B$11)+IF(K132="",0,K132*Config!$B$12))/(IF(G132="",0,Config!$B$11)+IF(K132="",0,Config!$B$12)))</f>
        <v>5</v>
      </c>
      <c r="P132" s="11">
        <f>IF(COUNTA(H132,L132)=0,"",((IF(H132="No",Config!$B$11,0)+IF(L132="No",Config!$B$12,0))/(IF(H132&lt;&gt;"",Config!$B$11,0)+IF(L132&lt;&gt;"",Config!$B$12,0)))*Config!$B$5)</f>
        <v>1</v>
      </c>
      <c r="Q132" s="12"/>
      <c r="R132" s="12"/>
      <c r="S132" s="10"/>
      <c r="T132" s="13">
        <f>IF(COUNT(M132:P132)=0,"",M132*Config!$B$2+N132*Config!$B$3+O132*Config!$B$4+P132)</f>
        <v>32</v>
      </c>
      <c r="U132" s="14" t="str">
        <f>IF(T132="","",IF(T132&gt;=Config!$B$7,"MUST SEE",IF(T132&gt;=Config!$B$8,"ALTO",IF(T132&gt;=Config!$B$9,"VALUTA","SKIP"))))</f>
        <v>MUST SEE</v>
      </c>
      <c r="V132" s="14" t="str">
        <f>IF(T132="","",IF(T132&gt;=Config!$B$9,"SI","NO"))</f>
        <v>SI</v>
      </c>
      <c r="W132" s="14" t="str">
        <f t="shared" si="1"/>
        <v/>
      </c>
      <c r="X132" s="14">
        <f t="shared" si="2"/>
        <v>3</v>
      </c>
      <c r="Z132" s="14" t="s">
        <v>41</v>
      </c>
      <c r="AA132" s="14" t="s">
        <v>42</v>
      </c>
    </row>
    <row r="133" ht="15.75" customHeight="1">
      <c r="A133" s="9">
        <v>46179.0</v>
      </c>
      <c r="B133" s="10" t="s">
        <v>145</v>
      </c>
      <c r="C133" s="10" t="s">
        <v>47</v>
      </c>
      <c r="D133" s="10" t="s">
        <v>179</v>
      </c>
      <c r="E133" s="10"/>
      <c r="F133" s="10"/>
      <c r="G133" s="10"/>
      <c r="H133" s="10"/>
      <c r="I133" s="15">
        <v>2.0</v>
      </c>
      <c r="J133" s="15">
        <v>1.0</v>
      </c>
      <c r="K133" s="15">
        <v>3.0</v>
      </c>
      <c r="L133" s="15" t="s">
        <v>55</v>
      </c>
      <c r="M133" s="11">
        <f>IF(COUNTA(E133,I133)=0,"",(IF(E133="",0,E133*Config!$B$11)+IF(I133="",0,I133*Config!$B$12))/(IF(E133="",0,Config!$B$11)+IF(I133="",0,Config!$B$12)))</f>
        <v>2</v>
      </c>
      <c r="N133" s="11">
        <f>IF(COUNTA(F133,J133)=0,"",(IF(F133="",0,F133*Config!$B$11)+IF(J133="",0,J133*Config!$B$12))/(IF(F133="",0,Config!$B$11)+IF(J133="",0,Config!$B$12)))</f>
        <v>1</v>
      </c>
      <c r="O133" s="11">
        <f>IF(COUNTA(G133,K133)=0,"",(IF(G133="",0,G133*Config!$B$11)+IF(K133="",0,K133*Config!$B$12))/(IF(G133="",0,Config!$B$11)+IF(K133="",0,Config!$B$12)))</f>
        <v>3</v>
      </c>
      <c r="P133" s="11">
        <f>IF(COUNTA(H133,L133)=0,"",((IF(H133="No",Config!$B$11,0)+IF(L133="No",Config!$B$12,0))/(IF(H133&lt;&gt;"",Config!$B$11,0)+IF(L133&lt;&gt;"",Config!$B$12,0)))*Config!$B$5)</f>
        <v>0</v>
      </c>
      <c r="Q133" s="12"/>
      <c r="R133" s="12"/>
      <c r="S133" s="10"/>
      <c r="T133" s="13">
        <f>IF(COUNT(M133:P133)=0,"",M133*Config!$B$2+N133*Config!$B$3+O133*Config!$B$4+P133)</f>
        <v>9</v>
      </c>
      <c r="U133" s="14" t="str">
        <f>IF(T133="","",IF(T133&gt;=Config!$B$7,"MUST SEE",IF(T133&gt;=Config!$B$8,"ALTO",IF(T133&gt;=Config!$B$9,"VALUTA","SKIP"))))</f>
        <v>SKIP</v>
      </c>
      <c r="V133" s="14" t="str">
        <f>IF(T133="","",IF(T133&gt;=Config!$B$9,"SI","NO"))</f>
        <v>NO</v>
      </c>
      <c r="W133" s="14" t="str">
        <f t="shared" si="1"/>
        <v/>
      </c>
      <c r="X133" s="14">
        <f t="shared" si="2"/>
        <v>13</v>
      </c>
      <c r="Z133" s="14" t="s">
        <v>41</v>
      </c>
      <c r="AA133" s="14" t="s">
        <v>42</v>
      </c>
    </row>
    <row r="134" ht="15.75" customHeight="1">
      <c r="A134" s="9">
        <v>46179.0</v>
      </c>
      <c r="B134" s="10" t="s">
        <v>145</v>
      </c>
      <c r="C134" s="10" t="s">
        <v>47</v>
      </c>
      <c r="D134" s="10" t="s">
        <v>180</v>
      </c>
      <c r="E134" s="10"/>
      <c r="F134" s="10"/>
      <c r="G134" s="10"/>
      <c r="H134" s="10"/>
      <c r="I134" s="10"/>
      <c r="J134" s="10"/>
      <c r="K134" s="10"/>
      <c r="L134" s="10"/>
      <c r="M134" s="11" t="str">
        <f>IF(COUNTA(E134,I134)=0,"",(IF(E134="",0,E134*Config!$B$11)+IF(I134="",0,I134*Config!$B$12))/(IF(E134="",0,Config!$B$11)+IF(I134="",0,Config!$B$12)))</f>
        <v/>
      </c>
      <c r="N134" s="11" t="str">
        <f>IF(COUNTA(F134,J134)=0,"",(IF(F134="",0,F134*Config!$B$11)+IF(J134="",0,J134*Config!$B$12))/(IF(F134="",0,Config!$B$11)+IF(J134="",0,Config!$B$12)))</f>
        <v/>
      </c>
      <c r="O134" s="11" t="str">
        <f>IF(COUNTA(G134,K134)=0,"",(IF(G134="",0,G134*Config!$B$11)+IF(K134="",0,K134*Config!$B$12))/(IF(G134="",0,Config!$B$11)+IF(K134="",0,Config!$B$12)))</f>
        <v/>
      </c>
      <c r="P134" s="11" t="str">
        <f>IF(COUNTA(H134,L134)=0,"",((IF(H134="No",Config!$B$11,0)+IF(L134="No",Config!$B$12,0))/(IF(H134&lt;&gt;"",Config!$B$11,0)+IF(L134&lt;&gt;"",Config!$B$12,0)))*Config!$B$5)</f>
        <v/>
      </c>
      <c r="Q134" s="12"/>
      <c r="R134" s="12"/>
      <c r="S134" s="10"/>
      <c r="T134" s="13" t="str">
        <f>IF(COUNT(M134:P134)=0,"",M134*Config!$B$2+N134*Config!$B$3+O134*Config!$B$4+P134)</f>
        <v/>
      </c>
      <c r="U134" s="14" t="str">
        <f>IF(T134="","",IF(T134&gt;=Config!$B$7,"MUST SEE",IF(T134&gt;=Config!$B$8,"ALTO",IF(T134&gt;=Config!$B$9,"VALUTA","SKIP"))))</f>
        <v/>
      </c>
      <c r="V134" s="14" t="str">
        <f>IF(T134="","",IF(T134&gt;=Config!$B$9,"SI","NO"))</f>
        <v/>
      </c>
      <c r="W134" s="14" t="str">
        <f t="shared" si="1"/>
        <v/>
      </c>
      <c r="X134" s="14" t="str">
        <f t="shared" si="2"/>
        <v/>
      </c>
      <c r="Z134" s="14" t="s">
        <v>41</v>
      </c>
      <c r="AA134" s="14" t="s">
        <v>42</v>
      </c>
    </row>
    <row r="135" ht="15.75" customHeight="1">
      <c r="A135" s="9">
        <v>46179.0</v>
      </c>
      <c r="B135" s="10" t="s">
        <v>145</v>
      </c>
      <c r="C135" s="10" t="s">
        <v>47</v>
      </c>
      <c r="D135" s="10" t="s">
        <v>181</v>
      </c>
      <c r="E135" s="10"/>
      <c r="F135" s="10"/>
      <c r="G135" s="10"/>
      <c r="H135" s="10"/>
      <c r="I135" s="10"/>
      <c r="J135" s="10"/>
      <c r="K135" s="10"/>
      <c r="L135" s="10"/>
      <c r="M135" s="11" t="str">
        <f>IF(COUNTA(E135,I135)=0,"",(IF(E135="",0,E135*Config!$B$11)+IF(I135="",0,I135*Config!$B$12))/(IF(E135="",0,Config!$B$11)+IF(I135="",0,Config!$B$12)))</f>
        <v/>
      </c>
      <c r="N135" s="11" t="str">
        <f>IF(COUNTA(F135,J135)=0,"",(IF(F135="",0,F135*Config!$B$11)+IF(J135="",0,J135*Config!$B$12))/(IF(F135="",0,Config!$B$11)+IF(J135="",0,Config!$B$12)))</f>
        <v/>
      </c>
      <c r="O135" s="11" t="str">
        <f>IF(COUNTA(G135,K135)=0,"",(IF(G135="",0,G135*Config!$B$11)+IF(K135="",0,K135*Config!$B$12))/(IF(G135="",0,Config!$B$11)+IF(K135="",0,Config!$B$12)))</f>
        <v/>
      </c>
      <c r="P135" s="11" t="str">
        <f>IF(COUNTA(H135,L135)=0,"",((IF(H135="No",Config!$B$11,0)+IF(L135="No",Config!$B$12,0))/(IF(H135&lt;&gt;"",Config!$B$11,0)+IF(L135&lt;&gt;"",Config!$B$12,0)))*Config!$B$5)</f>
        <v/>
      </c>
      <c r="Q135" s="12"/>
      <c r="R135" s="12"/>
      <c r="S135" s="10"/>
      <c r="T135" s="13" t="str">
        <f>IF(COUNT(M135:P135)=0,"",M135*Config!$B$2+N135*Config!$B$3+O135*Config!$B$4+P135)</f>
        <v/>
      </c>
      <c r="U135" s="14" t="str">
        <f>IF(T135="","",IF(T135&gt;=Config!$B$7,"MUST SEE",IF(T135&gt;=Config!$B$8,"ALTO",IF(T135&gt;=Config!$B$9,"VALUTA","SKIP"))))</f>
        <v/>
      </c>
      <c r="V135" s="14" t="str">
        <f>IF(T135="","",IF(T135&gt;=Config!$B$9,"SI","NO"))</f>
        <v/>
      </c>
      <c r="W135" s="14" t="str">
        <f t="shared" si="1"/>
        <v/>
      </c>
      <c r="X135" s="14" t="str">
        <f t="shared" si="2"/>
        <v/>
      </c>
      <c r="Z135" s="14" t="s">
        <v>41</v>
      </c>
      <c r="AA135" s="14" t="s">
        <v>42</v>
      </c>
    </row>
    <row r="136" ht="15.75" customHeight="1">
      <c r="A136" s="9">
        <v>46179.0</v>
      </c>
      <c r="B136" s="10" t="s">
        <v>145</v>
      </c>
      <c r="C136" s="10" t="s">
        <v>47</v>
      </c>
      <c r="D136" s="10" t="s">
        <v>182</v>
      </c>
      <c r="E136" s="10"/>
      <c r="F136" s="10"/>
      <c r="G136" s="10"/>
      <c r="H136" s="10"/>
      <c r="I136" s="10"/>
      <c r="J136" s="10"/>
      <c r="K136" s="10"/>
      <c r="L136" s="10"/>
      <c r="M136" s="11" t="str">
        <f>IF(COUNTA(E136,I136)=0,"",(IF(E136="",0,E136*Config!$B$11)+IF(I136="",0,I136*Config!$B$12))/(IF(E136="",0,Config!$B$11)+IF(I136="",0,Config!$B$12)))</f>
        <v/>
      </c>
      <c r="N136" s="11" t="str">
        <f>IF(COUNTA(F136,J136)=0,"",(IF(F136="",0,F136*Config!$B$11)+IF(J136="",0,J136*Config!$B$12))/(IF(F136="",0,Config!$B$11)+IF(J136="",0,Config!$B$12)))</f>
        <v/>
      </c>
      <c r="O136" s="11" t="str">
        <f>IF(COUNTA(G136,K136)=0,"",(IF(G136="",0,G136*Config!$B$11)+IF(K136="",0,K136*Config!$B$12))/(IF(G136="",0,Config!$B$11)+IF(K136="",0,Config!$B$12)))</f>
        <v/>
      </c>
      <c r="P136" s="11" t="str">
        <f>IF(COUNTA(H136,L136)=0,"",((IF(H136="No",Config!$B$11,0)+IF(L136="No",Config!$B$12,0))/(IF(H136&lt;&gt;"",Config!$B$11,0)+IF(L136&lt;&gt;"",Config!$B$12,0)))*Config!$B$5)</f>
        <v/>
      </c>
      <c r="Q136" s="12"/>
      <c r="R136" s="12"/>
      <c r="S136" s="10"/>
      <c r="T136" s="13" t="str">
        <f>IF(COUNT(M136:P136)=0,"",M136*Config!$B$2+N136*Config!$B$3+O136*Config!$B$4+P136)</f>
        <v/>
      </c>
      <c r="U136" s="14" t="str">
        <f>IF(T136="","",IF(T136&gt;=Config!$B$7,"MUST SEE",IF(T136&gt;=Config!$B$8,"ALTO",IF(T136&gt;=Config!$B$9,"VALUTA","SKIP"))))</f>
        <v/>
      </c>
      <c r="V136" s="14" t="str">
        <f>IF(T136="","",IF(T136&gt;=Config!$B$9,"SI","NO"))</f>
        <v/>
      </c>
      <c r="W136" s="14" t="str">
        <f t="shared" si="1"/>
        <v/>
      </c>
      <c r="X136" s="14" t="str">
        <f t="shared" si="2"/>
        <v/>
      </c>
      <c r="Z136" s="14" t="s">
        <v>41</v>
      </c>
      <c r="AA136" s="14" t="s">
        <v>42</v>
      </c>
    </row>
    <row r="137" ht="15.75" customHeight="1">
      <c r="A137" s="9">
        <v>46179.0</v>
      </c>
      <c r="B137" s="10" t="s">
        <v>145</v>
      </c>
      <c r="C137" s="10" t="s">
        <v>47</v>
      </c>
      <c r="D137" s="10" t="s">
        <v>183</v>
      </c>
      <c r="E137" s="10"/>
      <c r="F137" s="10"/>
      <c r="G137" s="10"/>
      <c r="H137" s="10"/>
      <c r="I137" s="10"/>
      <c r="J137" s="10"/>
      <c r="K137" s="10"/>
      <c r="L137" s="10"/>
      <c r="M137" s="11" t="str">
        <f>IF(COUNTA(E137,I137)=0,"",(IF(E137="",0,E137*Config!$B$11)+IF(I137="",0,I137*Config!$B$12))/(IF(E137="",0,Config!$B$11)+IF(I137="",0,Config!$B$12)))</f>
        <v/>
      </c>
      <c r="N137" s="11" t="str">
        <f>IF(COUNTA(F137,J137)=0,"",(IF(F137="",0,F137*Config!$B$11)+IF(J137="",0,J137*Config!$B$12))/(IF(F137="",0,Config!$B$11)+IF(J137="",0,Config!$B$12)))</f>
        <v/>
      </c>
      <c r="O137" s="11" t="str">
        <f>IF(COUNTA(G137,K137)=0,"",(IF(G137="",0,G137*Config!$B$11)+IF(K137="",0,K137*Config!$B$12))/(IF(G137="",0,Config!$B$11)+IF(K137="",0,Config!$B$12)))</f>
        <v/>
      </c>
      <c r="P137" s="11" t="str">
        <f>IF(COUNTA(H137,L137)=0,"",((IF(H137="No",Config!$B$11,0)+IF(L137="No",Config!$B$12,0))/(IF(H137&lt;&gt;"",Config!$B$11,0)+IF(L137&lt;&gt;"",Config!$B$12,0)))*Config!$B$5)</f>
        <v/>
      </c>
      <c r="Q137" s="12"/>
      <c r="R137" s="12"/>
      <c r="S137" s="10"/>
      <c r="T137" s="13" t="str">
        <f>IF(COUNT(M137:P137)=0,"",M137*Config!$B$2+N137*Config!$B$3+O137*Config!$B$4+P137)</f>
        <v/>
      </c>
      <c r="U137" s="14" t="str">
        <f>IF(T137="","",IF(T137&gt;=Config!$B$7,"MUST SEE",IF(T137&gt;=Config!$B$8,"ALTO",IF(T137&gt;=Config!$B$9,"VALUTA","SKIP"))))</f>
        <v/>
      </c>
      <c r="V137" s="14" t="str">
        <f>IF(T137="","",IF(T137&gt;=Config!$B$9,"SI","NO"))</f>
        <v/>
      </c>
      <c r="W137" s="14" t="str">
        <f t="shared" si="1"/>
        <v/>
      </c>
      <c r="X137" s="14" t="str">
        <f t="shared" si="2"/>
        <v/>
      </c>
      <c r="Z137" s="14" t="s">
        <v>41</v>
      </c>
      <c r="AA137" s="14" t="s">
        <v>42</v>
      </c>
    </row>
    <row r="138" ht="15.75" customHeight="1">
      <c r="A138" s="9">
        <v>46179.0</v>
      </c>
      <c r="B138" s="10" t="s">
        <v>145</v>
      </c>
      <c r="C138" s="10" t="s">
        <v>47</v>
      </c>
      <c r="D138" s="10" t="s">
        <v>184</v>
      </c>
      <c r="E138" s="10"/>
      <c r="F138" s="10"/>
      <c r="G138" s="10"/>
      <c r="H138" s="10"/>
      <c r="I138" s="10"/>
      <c r="J138" s="10"/>
      <c r="K138" s="10"/>
      <c r="L138" s="10"/>
      <c r="M138" s="11" t="str">
        <f>IF(COUNTA(E138,I138)=0,"",(IF(E138="",0,E138*Config!$B$11)+IF(I138="",0,I138*Config!$B$12))/(IF(E138="",0,Config!$B$11)+IF(I138="",0,Config!$B$12)))</f>
        <v/>
      </c>
      <c r="N138" s="11" t="str">
        <f>IF(COUNTA(F138,J138)=0,"",(IF(F138="",0,F138*Config!$B$11)+IF(J138="",0,J138*Config!$B$12))/(IF(F138="",0,Config!$B$11)+IF(J138="",0,Config!$B$12)))</f>
        <v/>
      </c>
      <c r="O138" s="11" t="str">
        <f>IF(COUNTA(G138,K138)=0,"",(IF(G138="",0,G138*Config!$B$11)+IF(K138="",0,K138*Config!$B$12))/(IF(G138="",0,Config!$B$11)+IF(K138="",0,Config!$B$12)))</f>
        <v/>
      </c>
      <c r="P138" s="11" t="str">
        <f>IF(COUNTA(H138,L138)=0,"",((IF(H138="No",Config!$B$11,0)+IF(L138="No",Config!$B$12,0))/(IF(H138&lt;&gt;"",Config!$B$11,0)+IF(L138&lt;&gt;"",Config!$B$12,0)))*Config!$B$5)</f>
        <v/>
      </c>
      <c r="Q138" s="12"/>
      <c r="R138" s="12"/>
      <c r="S138" s="10"/>
      <c r="T138" s="13" t="str">
        <f>IF(COUNT(M138:P138)=0,"",M138*Config!$B$2+N138*Config!$B$3+O138*Config!$B$4+P138)</f>
        <v/>
      </c>
      <c r="U138" s="14" t="str">
        <f>IF(T138="","",IF(T138&gt;=Config!$B$7,"MUST SEE",IF(T138&gt;=Config!$B$8,"ALTO",IF(T138&gt;=Config!$B$9,"VALUTA","SKIP"))))</f>
        <v/>
      </c>
      <c r="V138" s="14" t="str">
        <f>IF(T138="","",IF(T138&gt;=Config!$B$9,"SI","NO"))</f>
        <v/>
      </c>
      <c r="W138" s="14" t="str">
        <f t="shared" si="1"/>
        <v/>
      </c>
      <c r="X138" s="14" t="str">
        <f t="shared" si="2"/>
        <v/>
      </c>
      <c r="Z138" s="14" t="s">
        <v>41</v>
      </c>
      <c r="AA138" s="14" t="s">
        <v>42</v>
      </c>
    </row>
    <row r="139" ht="15.75" customHeight="1">
      <c r="A139" s="9">
        <v>46179.0</v>
      </c>
      <c r="B139" s="10" t="s">
        <v>145</v>
      </c>
      <c r="C139" s="10" t="s">
        <v>47</v>
      </c>
      <c r="D139" s="10" t="s">
        <v>185</v>
      </c>
      <c r="E139" s="10"/>
      <c r="F139" s="10"/>
      <c r="G139" s="10"/>
      <c r="H139" s="10"/>
      <c r="I139" s="10"/>
      <c r="J139" s="10"/>
      <c r="K139" s="10"/>
      <c r="L139" s="10"/>
      <c r="M139" s="11" t="str">
        <f>IF(COUNTA(E139,I139)=0,"",(IF(E139="",0,E139*Config!$B$11)+IF(I139="",0,I139*Config!$B$12))/(IF(E139="",0,Config!$B$11)+IF(I139="",0,Config!$B$12)))</f>
        <v/>
      </c>
      <c r="N139" s="11" t="str">
        <f>IF(COUNTA(F139,J139)=0,"",(IF(F139="",0,F139*Config!$B$11)+IF(J139="",0,J139*Config!$B$12))/(IF(F139="",0,Config!$B$11)+IF(J139="",0,Config!$B$12)))</f>
        <v/>
      </c>
      <c r="O139" s="11" t="str">
        <f>IF(COUNTA(G139,K139)=0,"",(IF(G139="",0,G139*Config!$B$11)+IF(K139="",0,K139*Config!$B$12))/(IF(G139="",0,Config!$B$11)+IF(K139="",0,Config!$B$12)))</f>
        <v/>
      </c>
      <c r="P139" s="11" t="str">
        <f>IF(COUNTA(H139,L139)=0,"",((IF(H139="No",Config!$B$11,0)+IF(L139="No",Config!$B$12,0))/(IF(H139&lt;&gt;"",Config!$B$11,0)+IF(L139&lt;&gt;"",Config!$B$12,0)))*Config!$B$5)</f>
        <v/>
      </c>
      <c r="Q139" s="12"/>
      <c r="R139" s="12"/>
      <c r="S139" s="10"/>
      <c r="T139" s="13" t="str">
        <f>IF(COUNT(M139:P139)=0,"",M139*Config!$B$2+N139*Config!$B$3+O139*Config!$B$4+P139)</f>
        <v/>
      </c>
      <c r="U139" s="14" t="str">
        <f>IF(T139="","",IF(T139&gt;=Config!$B$7,"MUST SEE",IF(T139&gt;=Config!$B$8,"ALTO",IF(T139&gt;=Config!$B$9,"VALUTA","SKIP"))))</f>
        <v/>
      </c>
      <c r="V139" s="14" t="str">
        <f>IF(T139="","",IF(T139&gt;=Config!$B$9,"SI","NO"))</f>
        <v/>
      </c>
      <c r="W139" s="14" t="str">
        <f t="shared" si="1"/>
        <v/>
      </c>
      <c r="X139" s="14" t="str">
        <f t="shared" si="2"/>
        <v/>
      </c>
      <c r="Z139" s="14" t="s">
        <v>41</v>
      </c>
      <c r="AA139" s="14" t="s">
        <v>42</v>
      </c>
    </row>
    <row r="140" ht="15.75" customHeight="1">
      <c r="A140" s="9">
        <v>46179.0</v>
      </c>
      <c r="B140" s="10" t="s">
        <v>145</v>
      </c>
      <c r="C140" s="10" t="s">
        <v>47</v>
      </c>
      <c r="D140" s="10" t="s">
        <v>186</v>
      </c>
      <c r="E140" s="10"/>
      <c r="F140" s="10"/>
      <c r="G140" s="10"/>
      <c r="H140" s="10"/>
      <c r="I140" s="10"/>
      <c r="J140" s="10"/>
      <c r="K140" s="10"/>
      <c r="L140" s="10"/>
      <c r="M140" s="11" t="str">
        <f>IF(COUNTA(E140,I140)=0,"",(IF(E140="",0,E140*Config!$B$11)+IF(I140="",0,I140*Config!$B$12))/(IF(E140="",0,Config!$B$11)+IF(I140="",0,Config!$B$12)))</f>
        <v/>
      </c>
      <c r="N140" s="11" t="str">
        <f>IF(COUNTA(F140,J140)=0,"",(IF(F140="",0,F140*Config!$B$11)+IF(J140="",0,J140*Config!$B$12))/(IF(F140="",0,Config!$B$11)+IF(J140="",0,Config!$B$12)))</f>
        <v/>
      </c>
      <c r="O140" s="11" t="str">
        <f>IF(COUNTA(G140,K140)=0,"",(IF(G140="",0,G140*Config!$B$11)+IF(K140="",0,K140*Config!$B$12))/(IF(G140="",0,Config!$B$11)+IF(K140="",0,Config!$B$12)))</f>
        <v/>
      </c>
      <c r="P140" s="11" t="str">
        <f>IF(COUNTA(H140,L140)=0,"",((IF(H140="No",Config!$B$11,0)+IF(L140="No",Config!$B$12,0))/(IF(H140&lt;&gt;"",Config!$B$11,0)+IF(L140&lt;&gt;"",Config!$B$12,0)))*Config!$B$5)</f>
        <v/>
      </c>
      <c r="Q140" s="12"/>
      <c r="R140" s="12"/>
      <c r="S140" s="10"/>
      <c r="T140" s="13" t="str">
        <f>IF(COUNT(M140:P140)=0,"",M140*Config!$B$2+N140*Config!$B$3+O140*Config!$B$4+P140)</f>
        <v/>
      </c>
      <c r="U140" s="14" t="str">
        <f>IF(T140="","",IF(T140&gt;=Config!$B$7,"MUST SEE",IF(T140&gt;=Config!$B$8,"ALTO",IF(T140&gt;=Config!$B$9,"VALUTA","SKIP"))))</f>
        <v/>
      </c>
      <c r="V140" s="14" t="str">
        <f>IF(T140="","",IF(T140&gt;=Config!$B$9,"SI","NO"))</f>
        <v/>
      </c>
      <c r="W140" s="14" t="str">
        <f t="shared" si="1"/>
        <v/>
      </c>
      <c r="X140" s="14" t="str">
        <f t="shared" si="2"/>
        <v/>
      </c>
      <c r="Z140" s="14" t="s">
        <v>41</v>
      </c>
      <c r="AA140" s="14" t="s">
        <v>42</v>
      </c>
    </row>
    <row r="141" ht="15.75" customHeight="1">
      <c r="A141" s="9">
        <v>46179.0</v>
      </c>
      <c r="B141" s="10" t="s">
        <v>145</v>
      </c>
      <c r="C141" s="10" t="s">
        <v>47</v>
      </c>
      <c r="D141" s="10" t="s">
        <v>187</v>
      </c>
      <c r="E141" s="10"/>
      <c r="F141" s="10"/>
      <c r="G141" s="10"/>
      <c r="H141" s="10"/>
      <c r="I141" s="10"/>
      <c r="J141" s="10"/>
      <c r="K141" s="10"/>
      <c r="L141" s="10"/>
      <c r="M141" s="11" t="str">
        <f>IF(COUNTA(E141,I141)=0,"",(IF(E141="",0,E141*Config!$B$11)+IF(I141="",0,I141*Config!$B$12))/(IF(E141="",0,Config!$B$11)+IF(I141="",0,Config!$B$12)))</f>
        <v/>
      </c>
      <c r="N141" s="11" t="str">
        <f>IF(COUNTA(F141,J141)=0,"",(IF(F141="",0,F141*Config!$B$11)+IF(J141="",0,J141*Config!$B$12))/(IF(F141="",0,Config!$B$11)+IF(J141="",0,Config!$B$12)))</f>
        <v/>
      </c>
      <c r="O141" s="11" t="str">
        <f>IF(COUNTA(G141,K141)=0,"",(IF(G141="",0,G141*Config!$B$11)+IF(K141="",0,K141*Config!$B$12))/(IF(G141="",0,Config!$B$11)+IF(K141="",0,Config!$B$12)))</f>
        <v/>
      </c>
      <c r="P141" s="11" t="str">
        <f>IF(COUNTA(H141,L141)=0,"",((IF(H141="No",Config!$B$11,0)+IF(L141="No",Config!$B$12,0))/(IF(H141&lt;&gt;"",Config!$B$11,0)+IF(L141&lt;&gt;"",Config!$B$12,0)))*Config!$B$5)</f>
        <v/>
      </c>
      <c r="Q141" s="12"/>
      <c r="R141" s="12"/>
      <c r="S141" s="10"/>
      <c r="T141" s="13" t="str">
        <f>IF(COUNT(M141:P141)=0,"",M141*Config!$B$2+N141*Config!$B$3+O141*Config!$B$4+P141)</f>
        <v/>
      </c>
      <c r="U141" s="14" t="str">
        <f>IF(T141="","",IF(T141&gt;=Config!$B$7,"MUST SEE",IF(T141&gt;=Config!$B$8,"ALTO",IF(T141&gt;=Config!$B$9,"VALUTA","SKIP"))))</f>
        <v/>
      </c>
      <c r="V141" s="14" t="str">
        <f>IF(T141="","",IF(T141&gt;=Config!$B$9,"SI","NO"))</f>
        <v/>
      </c>
      <c r="W141" s="14" t="str">
        <f t="shared" si="1"/>
        <v/>
      </c>
      <c r="X141" s="14" t="str">
        <f t="shared" si="2"/>
        <v/>
      </c>
      <c r="Z141" s="14" t="s">
        <v>41</v>
      </c>
      <c r="AA141" s="14" t="s">
        <v>42</v>
      </c>
    </row>
    <row r="142" ht="15.75" customHeight="1">
      <c r="A142" s="9">
        <v>46179.0</v>
      </c>
      <c r="B142" s="10" t="s">
        <v>145</v>
      </c>
      <c r="C142" s="10" t="s">
        <v>47</v>
      </c>
      <c r="D142" s="10" t="s">
        <v>188</v>
      </c>
      <c r="E142" s="10"/>
      <c r="F142" s="10"/>
      <c r="G142" s="10"/>
      <c r="H142" s="10"/>
      <c r="I142" s="10"/>
      <c r="J142" s="10"/>
      <c r="K142" s="10"/>
      <c r="L142" s="10"/>
      <c r="M142" s="11" t="str">
        <f>IF(COUNTA(E142,I142)=0,"",(IF(E142="",0,E142*Config!$B$11)+IF(I142="",0,I142*Config!$B$12))/(IF(E142="",0,Config!$B$11)+IF(I142="",0,Config!$B$12)))</f>
        <v/>
      </c>
      <c r="N142" s="11" t="str">
        <f>IF(COUNTA(F142,J142)=0,"",(IF(F142="",0,F142*Config!$B$11)+IF(J142="",0,J142*Config!$B$12))/(IF(F142="",0,Config!$B$11)+IF(J142="",0,Config!$B$12)))</f>
        <v/>
      </c>
      <c r="O142" s="11" t="str">
        <f>IF(COUNTA(G142,K142)=0,"",(IF(G142="",0,G142*Config!$B$11)+IF(K142="",0,K142*Config!$B$12))/(IF(G142="",0,Config!$B$11)+IF(K142="",0,Config!$B$12)))</f>
        <v/>
      </c>
      <c r="P142" s="11" t="str">
        <f>IF(COUNTA(H142,L142)=0,"",((IF(H142="No",Config!$B$11,0)+IF(L142="No",Config!$B$12,0))/(IF(H142&lt;&gt;"",Config!$B$11,0)+IF(L142&lt;&gt;"",Config!$B$12,0)))*Config!$B$5)</f>
        <v/>
      </c>
      <c r="Q142" s="12"/>
      <c r="R142" s="12"/>
      <c r="S142" s="10"/>
      <c r="T142" s="13" t="str">
        <f>IF(COUNT(M142:P142)=0,"",M142*Config!$B$2+N142*Config!$B$3+O142*Config!$B$4+P142)</f>
        <v/>
      </c>
      <c r="U142" s="14" t="str">
        <f>IF(T142="","",IF(T142&gt;=Config!$B$7,"MUST SEE",IF(T142&gt;=Config!$B$8,"ALTO",IF(T142&gt;=Config!$B$9,"VALUTA","SKIP"))))</f>
        <v/>
      </c>
      <c r="V142" s="14" t="str">
        <f>IF(T142="","",IF(T142&gt;=Config!$B$9,"SI","NO"))</f>
        <v/>
      </c>
      <c r="W142" s="14" t="str">
        <f t="shared" si="1"/>
        <v/>
      </c>
      <c r="X142" s="14" t="str">
        <f t="shared" si="2"/>
        <v/>
      </c>
      <c r="Z142" s="14" t="s">
        <v>41</v>
      </c>
      <c r="AA142" s="14" t="s">
        <v>42</v>
      </c>
    </row>
    <row r="143" ht="15.75" customHeight="1">
      <c r="A143" s="9">
        <v>46179.0</v>
      </c>
      <c r="B143" s="10" t="s">
        <v>145</v>
      </c>
      <c r="C143" s="10" t="s">
        <v>47</v>
      </c>
      <c r="D143" s="10" t="s">
        <v>189</v>
      </c>
      <c r="E143" s="15">
        <v>8.0</v>
      </c>
      <c r="F143" s="15">
        <v>4.0</v>
      </c>
      <c r="G143" s="15">
        <v>4.0</v>
      </c>
      <c r="H143" s="15" t="s">
        <v>49</v>
      </c>
      <c r="I143" s="15">
        <v>8.0</v>
      </c>
      <c r="J143" s="15">
        <v>4.0</v>
      </c>
      <c r="K143" s="15">
        <v>5.0</v>
      </c>
      <c r="L143" s="15" t="s">
        <v>49</v>
      </c>
      <c r="M143" s="11">
        <f>IF(COUNTA(E143,I143)=0,"",(IF(E143="",0,E143*Config!$B$11)+IF(I143="",0,I143*Config!$B$12))/(IF(E143="",0,Config!$B$11)+IF(I143="",0,Config!$B$12)))</f>
        <v>8</v>
      </c>
      <c r="N143" s="11">
        <f>IF(COUNTA(F143,J143)=0,"",(IF(F143="",0,F143*Config!$B$11)+IF(J143="",0,J143*Config!$B$12))/(IF(F143="",0,Config!$B$11)+IF(J143="",0,Config!$B$12)))</f>
        <v>4</v>
      </c>
      <c r="O143" s="11">
        <f>IF(COUNTA(G143,K143)=0,"",(IF(G143="",0,G143*Config!$B$11)+IF(K143="",0,K143*Config!$B$12))/(IF(G143="",0,Config!$B$11)+IF(K143="",0,Config!$B$12)))</f>
        <v>4.5</v>
      </c>
      <c r="P143" s="11">
        <f>IF(COUNTA(H143,L143)=0,"",((IF(H143="No",Config!$B$11,0)+IF(L143="No",Config!$B$12,0))/(IF(H143&lt;&gt;"",Config!$B$11,0)+IF(L143&lt;&gt;"",Config!$B$12,0)))*Config!$B$5)</f>
        <v>1</v>
      </c>
      <c r="Q143" s="12"/>
      <c r="R143" s="12"/>
      <c r="S143" s="10"/>
      <c r="T143" s="13">
        <f>IF(COUNT(M143:P143)=0,"",M143*Config!$B$2+N143*Config!$B$3+O143*Config!$B$4+P143)</f>
        <v>29.5</v>
      </c>
      <c r="U143" s="14" t="str">
        <f>IF(T143="","",IF(T143&gt;=Config!$B$7,"MUST SEE",IF(T143&gt;=Config!$B$8,"ALTO",IF(T143&gt;=Config!$B$9,"VALUTA","SKIP"))))</f>
        <v>MUST SEE</v>
      </c>
      <c r="V143" s="14" t="str">
        <f>IF(T143="","",IF(T143&gt;=Config!$B$9,"SI","NO"))</f>
        <v>SI</v>
      </c>
      <c r="W143" s="14" t="str">
        <f t="shared" si="1"/>
        <v/>
      </c>
      <c r="X143" s="14">
        <f t="shared" si="2"/>
        <v>5</v>
      </c>
      <c r="Z143" s="14" t="s">
        <v>41</v>
      </c>
      <c r="AA143" s="14" t="s">
        <v>42</v>
      </c>
    </row>
    <row r="144" ht="15.75" customHeight="1">
      <c r="A144" s="9">
        <v>46179.0</v>
      </c>
      <c r="B144" s="10" t="s">
        <v>145</v>
      </c>
      <c r="C144" s="10" t="s">
        <v>47</v>
      </c>
      <c r="D144" s="10" t="s">
        <v>190</v>
      </c>
      <c r="E144" s="10"/>
      <c r="F144" s="10"/>
      <c r="G144" s="10"/>
      <c r="H144" s="10"/>
      <c r="I144" s="10"/>
      <c r="J144" s="10"/>
      <c r="K144" s="10"/>
      <c r="L144" s="10"/>
      <c r="M144" s="11" t="str">
        <f>IF(COUNTA(E144,I144)=0,"",(IF(E144="",0,E144*Config!$B$11)+IF(I144="",0,I144*Config!$B$12))/(IF(E144="",0,Config!$B$11)+IF(I144="",0,Config!$B$12)))</f>
        <v/>
      </c>
      <c r="N144" s="11" t="str">
        <f>IF(COUNTA(F144,J144)=0,"",(IF(F144="",0,F144*Config!$B$11)+IF(J144="",0,J144*Config!$B$12))/(IF(F144="",0,Config!$B$11)+IF(J144="",0,Config!$B$12)))</f>
        <v/>
      </c>
      <c r="O144" s="11" t="str">
        <f>IF(COUNTA(G144,K144)=0,"",(IF(G144="",0,G144*Config!$B$11)+IF(K144="",0,K144*Config!$B$12))/(IF(G144="",0,Config!$B$11)+IF(K144="",0,Config!$B$12)))</f>
        <v/>
      </c>
      <c r="P144" s="11" t="str">
        <f>IF(COUNTA(H144,L144)=0,"",((IF(H144="No",Config!$B$11,0)+IF(L144="No",Config!$B$12,0))/(IF(H144&lt;&gt;"",Config!$B$11,0)+IF(L144&lt;&gt;"",Config!$B$12,0)))*Config!$B$5)</f>
        <v/>
      </c>
      <c r="Q144" s="12"/>
      <c r="R144" s="12"/>
      <c r="S144" s="10"/>
      <c r="T144" s="13" t="str">
        <f>IF(COUNT(M144:P144)=0,"",M144*Config!$B$2+N144*Config!$B$3+O144*Config!$B$4+P144)</f>
        <v/>
      </c>
      <c r="U144" s="14" t="str">
        <f>IF(T144="","",IF(T144&gt;=Config!$B$7,"MUST SEE",IF(T144&gt;=Config!$B$8,"ALTO",IF(T144&gt;=Config!$B$9,"VALUTA","SKIP"))))</f>
        <v/>
      </c>
      <c r="V144" s="14" t="str">
        <f>IF(T144="","",IF(T144&gt;=Config!$B$9,"SI","NO"))</f>
        <v/>
      </c>
      <c r="W144" s="14" t="str">
        <f t="shared" si="1"/>
        <v/>
      </c>
      <c r="X144" s="14" t="str">
        <f t="shared" si="2"/>
        <v/>
      </c>
      <c r="Z144" s="14" t="s">
        <v>41</v>
      </c>
      <c r="AA144" s="14" t="s">
        <v>42</v>
      </c>
    </row>
    <row r="145" ht="15.75" customHeight="1">
      <c r="A145" s="9">
        <v>46179.0</v>
      </c>
      <c r="B145" s="10" t="s">
        <v>145</v>
      </c>
      <c r="C145" s="10" t="s">
        <v>47</v>
      </c>
      <c r="D145" s="10" t="s">
        <v>191</v>
      </c>
      <c r="E145" s="10"/>
      <c r="F145" s="10"/>
      <c r="G145" s="10"/>
      <c r="H145" s="10"/>
      <c r="I145" s="10"/>
      <c r="J145" s="10"/>
      <c r="K145" s="10"/>
      <c r="L145" s="10"/>
      <c r="M145" s="11" t="str">
        <f>IF(COUNTA(E145,I145)=0,"",(IF(E145="",0,E145*Config!$B$11)+IF(I145="",0,I145*Config!$B$12))/(IF(E145="",0,Config!$B$11)+IF(I145="",0,Config!$B$12)))</f>
        <v/>
      </c>
      <c r="N145" s="11" t="str">
        <f>IF(COUNTA(F145,J145)=0,"",(IF(F145="",0,F145*Config!$B$11)+IF(J145="",0,J145*Config!$B$12))/(IF(F145="",0,Config!$B$11)+IF(J145="",0,Config!$B$12)))</f>
        <v/>
      </c>
      <c r="O145" s="11" t="str">
        <f>IF(COUNTA(G145,K145)=0,"",(IF(G145="",0,G145*Config!$B$11)+IF(K145="",0,K145*Config!$B$12))/(IF(G145="",0,Config!$B$11)+IF(K145="",0,Config!$B$12)))</f>
        <v/>
      </c>
      <c r="P145" s="11" t="str">
        <f>IF(COUNTA(H145,L145)=0,"",((IF(H145="No",Config!$B$11,0)+IF(L145="No",Config!$B$12,0))/(IF(H145&lt;&gt;"",Config!$B$11,0)+IF(L145&lt;&gt;"",Config!$B$12,0)))*Config!$B$5)</f>
        <v/>
      </c>
      <c r="Q145" s="12"/>
      <c r="R145" s="12"/>
      <c r="S145" s="10"/>
      <c r="T145" s="13" t="str">
        <f>IF(COUNT(M145:P145)=0,"",M145*Config!$B$2+N145*Config!$B$3+O145*Config!$B$4+P145)</f>
        <v/>
      </c>
      <c r="U145" s="14" t="str">
        <f>IF(T145="","",IF(T145&gt;=Config!$B$7,"MUST SEE",IF(T145&gt;=Config!$B$8,"ALTO",IF(T145&gt;=Config!$B$9,"VALUTA","SKIP"))))</f>
        <v/>
      </c>
      <c r="V145" s="14" t="str">
        <f>IF(T145="","",IF(T145&gt;=Config!$B$9,"SI","NO"))</f>
        <v/>
      </c>
      <c r="W145" s="14" t="str">
        <f t="shared" si="1"/>
        <v/>
      </c>
      <c r="X145" s="14" t="str">
        <f t="shared" si="2"/>
        <v/>
      </c>
      <c r="Z145" s="14" t="s">
        <v>41</v>
      </c>
      <c r="AA145" s="14" t="s">
        <v>42</v>
      </c>
    </row>
    <row r="146" ht="15.75" customHeight="1">
      <c r="A146" s="9">
        <v>46179.0</v>
      </c>
      <c r="B146" s="10" t="s">
        <v>145</v>
      </c>
      <c r="C146" s="10" t="s">
        <v>47</v>
      </c>
      <c r="D146" s="10" t="s">
        <v>192</v>
      </c>
      <c r="E146" s="10"/>
      <c r="F146" s="10"/>
      <c r="G146" s="10"/>
      <c r="H146" s="10"/>
      <c r="I146" s="10"/>
      <c r="J146" s="10"/>
      <c r="K146" s="10"/>
      <c r="L146" s="10"/>
      <c r="M146" s="11" t="str">
        <f>IF(COUNTA(E146,I146)=0,"",(IF(E146="",0,E146*Config!$B$11)+IF(I146="",0,I146*Config!$B$12))/(IF(E146="",0,Config!$B$11)+IF(I146="",0,Config!$B$12)))</f>
        <v/>
      </c>
      <c r="N146" s="11" t="str">
        <f>IF(COUNTA(F146,J146)=0,"",(IF(F146="",0,F146*Config!$B$11)+IF(J146="",0,J146*Config!$B$12))/(IF(F146="",0,Config!$B$11)+IF(J146="",0,Config!$B$12)))</f>
        <v/>
      </c>
      <c r="O146" s="11" t="str">
        <f>IF(COUNTA(G146,K146)=0,"",(IF(G146="",0,G146*Config!$B$11)+IF(K146="",0,K146*Config!$B$12))/(IF(G146="",0,Config!$B$11)+IF(K146="",0,Config!$B$12)))</f>
        <v/>
      </c>
      <c r="P146" s="11" t="str">
        <f>IF(COUNTA(H146,L146)=0,"",((IF(H146="No",Config!$B$11,0)+IF(L146="No",Config!$B$12,0))/(IF(H146&lt;&gt;"",Config!$B$11,0)+IF(L146&lt;&gt;"",Config!$B$12,0)))*Config!$B$5)</f>
        <v/>
      </c>
      <c r="Q146" s="12"/>
      <c r="R146" s="12"/>
      <c r="S146" s="10"/>
      <c r="T146" s="13" t="str">
        <f>IF(COUNT(M146:P146)=0,"",M146*Config!$B$2+N146*Config!$B$3+O146*Config!$B$4+P146)</f>
        <v/>
      </c>
      <c r="U146" s="14" t="str">
        <f>IF(T146="","",IF(T146&gt;=Config!$B$7,"MUST SEE",IF(T146&gt;=Config!$B$8,"ALTO",IF(T146&gt;=Config!$B$9,"VALUTA","SKIP"))))</f>
        <v/>
      </c>
      <c r="V146" s="14" t="str">
        <f>IF(T146="","",IF(T146&gt;=Config!$B$9,"SI","NO"))</f>
        <v/>
      </c>
      <c r="W146" s="14" t="str">
        <f t="shared" si="1"/>
        <v/>
      </c>
      <c r="X146" s="14" t="str">
        <f t="shared" si="2"/>
        <v/>
      </c>
      <c r="Z146" s="14" t="s">
        <v>41</v>
      </c>
      <c r="AA146" s="14" t="s">
        <v>42</v>
      </c>
    </row>
    <row r="147" ht="15.75" customHeight="1">
      <c r="A147" s="9">
        <v>46179.0</v>
      </c>
      <c r="B147" s="10" t="s">
        <v>145</v>
      </c>
      <c r="C147" s="10" t="s">
        <v>47</v>
      </c>
      <c r="D147" s="10" t="s">
        <v>193</v>
      </c>
      <c r="E147" s="10"/>
      <c r="F147" s="10"/>
      <c r="G147" s="10"/>
      <c r="H147" s="10"/>
      <c r="I147" s="10"/>
      <c r="J147" s="10"/>
      <c r="K147" s="10"/>
      <c r="L147" s="10"/>
      <c r="M147" s="11" t="str">
        <f>IF(COUNTA(E147,I147)=0,"",(IF(E147="",0,E147*Config!$B$11)+IF(I147="",0,I147*Config!$B$12))/(IF(E147="",0,Config!$B$11)+IF(I147="",0,Config!$B$12)))</f>
        <v/>
      </c>
      <c r="N147" s="11" t="str">
        <f>IF(COUNTA(F147,J147)=0,"",(IF(F147="",0,F147*Config!$B$11)+IF(J147="",0,J147*Config!$B$12))/(IF(F147="",0,Config!$B$11)+IF(J147="",0,Config!$B$12)))</f>
        <v/>
      </c>
      <c r="O147" s="11" t="str">
        <f>IF(COUNTA(G147,K147)=0,"",(IF(G147="",0,G147*Config!$B$11)+IF(K147="",0,K147*Config!$B$12))/(IF(G147="",0,Config!$B$11)+IF(K147="",0,Config!$B$12)))</f>
        <v/>
      </c>
      <c r="P147" s="11" t="str">
        <f>IF(COUNTA(H147,L147)=0,"",((IF(H147="No",Config!$B$11,0)+IF(L147="No",Config!$B$12,0))/(IF(H147&lt;&gt;"",Config!$B$11,0)+IF(L147&lt;&gt;"",Config!$B$12,0)))*Config!$B$5)</f>
        <v/>
      </c>
      <c r="Q147" s="12"/>
      <c r="R147" s="12"/>
      <c r="S147" s="10"/>
      <c r="T147" s="13" t="str">
        <f>IF(COUNT(M147:P147)=0,"",M147*Config!$B$2+N147*Config!$B$3+O147*Config!$B$4+P147)</f>
        <v/>
      </c>
      <c r="U147" s="14" t="str">
        <f>IF(T147="","",IF(T147&gt;=Config!$B$7,"MUST SEE",IF(T147&gt;=Config!$B$8,"ALTO",IF(T147&gt;=Config!$B$9,"VALUTA","SKIP"))))</f>
        <v/>
      </c>
      <c r="V147" s="14" t="str">
        <f>IF(T147="","",IF(T147&gt;=Config!$B$9,"SI","NO"))</f>
        <v/>
      </c>
      <c r="W147" s="14" t="str">
        <f t="shared" si="1"/>
        <v/>
      </c>
      <c r="X147" s="14" t="str">
        <f t="shared" si="2"/>
        <v/>
      </c>
      <c r="Z147" s="14" t="s">
        <v>41</v>
      </c>
      <c r="AA147" s="14" t="s">
        <v>42</v>
      </c>
    </row>
    <row r="148" ht="15.75" customHeight="1">
      <c r="A148" s="9">
        <v>46180.0</v>
      </c>
      <c r="B148" s="10" t="s">
        <v>194</v>
      </c>
      <c r="C148" s="10" t="s">
        <v>195</v>
      </c>
      <c r="D148" s="10" t="s">
        <v>196</v>
      </c>
      <c r="E148" s="10"/>
      <c r="F148" s="10"/>
      <c r="G148" s="10"/>
      <c r="H148" s="10"/>
      <c r="I148" s="10"/>
      <c r="J148" s="10"/>
      <c r="K148" s="10"/>
      <c r="L148" s="10"/>
      <c r="M148" s="11" t="str">
        <f>IF(COUNTA(E148,I148)=0,"",(IF(E148="",0,E148*Config!$B$11)+IF(I148="",0,I148*Config!$B$12))/(IF(E148="",0,Config!$B$11)+IF(I148="",0,Config!$B$12)))</f>
        <v/>
      </c>
      <c r="N148" s="11" t="str">
        <f>IF(COUNTA(F148,J148)=0,"",(IF(F148="",0,F148*Config!$B$11)+IF(J148="",0,J148*Config!$B$12))/(IF(F148="",0,Config!$B$11)+IF(J148="",0,Config!$B$12)))</f>
        <v/>
      </c>
      <c r="O148" s="11" t="str">
        <f>IF(COUNTA(G148,K148)=0,"",(IF(G148="",0,G148*Config!$B$11)+IF(K148="",0,K148*Config!$B$12))/(IF(G148="",0,Config!$B$11)+IF(K148="",0,Config!$B$12)))</f>
        <v/>
      </c>
      <c r="P148" s="11" t="str">
        <f>IF(COUNTA(H148,L148)=0,"",((IF(H148="No",Config!$B$11,0)+IF(L148="No",Config!$B$12,0))/(IF(H148&lt;&gt;"",Config!$B$11,0)+IF(L148&lt;&gt;"",Config!$B$12,0)))*Config!$B$5)</f>
        <v/>
      </c>
      <c r="Q148" s="12"/>
      <c r="R148" s="12"/>
      <c r="S148" s="10"/>
      <c r="T148" s="13" t="str">
        <f>IF(COUNT(M148:P148)=0,"",M148*Config!$B$2+N148*Config!$B$3+O148*Config!$B$4+P148)</f>
        <v/>
      </c>
      <c r="U148" s="14" t="str">
        <f>IF(T148="","",IF(T148&gt;=Config!$B$7,"MUST SEE",IF(T148&gt;=Config!$B$8,"ALTO",IF(T148&gt;=Config!$B$9,"VALUTA","SKIP"))))</f>
        <v/>
      </c>
      <c r="V148" s="14" t="str">
        <f>IF(T148="","",IF(T148&gt;=Config!$B$9,"SI","NO"))</f>
        <v/>
      </c>
      <c r="W148" s="14" t="str">
        <f t="shared" si="1"/>
        <v/>
      </c>
      <c r="X148" s="14" t="str">
        <f t="shared" si="2"/>
        <v/>
      </c>
      <c r="Z148" s="14" t="s">
        <v>41</v>
      </c>
      <c r="AA148" s="14" t="s">
        <v>197</v>
      </c>
    </row>
    <row r="149" ht="15.75" customHeight="1">
      <c r="A149" s="9">
        <v>46180.0</v>
      </c>
      <c r="B149" s="10" t="s">
        <v>194</v>
      </c>
      <c r="C149" s="10" t="s">
        <v>195</v>
      </c>
      <c r="D149" s="10" t="s">
        <v>198</v>
      </c>
      <c r="E149" s="10"/>
      <c r="F149" s="10"/>
      <c r="G149" s="10"/>
      <c r="H149" s="10"/>
      <c r="I149" s="10"/>
      <c r="J149" s="10"/>
      <c r="K149" s="10"/>
      <c r="L149" s="10"/>
      <c r="M149" s="11" t="str">
        <f>IF(COUNTA(E149,I149)=0,"",(IF(E149="",0,E149*Config!$B$11)+IF(I149="",0,I149*Config!$B$12))/(IF(E149="",0,Config!$B$11)+IF(I149="",0,Config!$B$12)))</f>
        <v/>
      </c>
      <c r="N149" s="11" t="str">
        <f>IF(COUNTA(F149,J149)=0,"",(IF(F149="",0,F149*Config!$B$11)+IF(J149="",0,J149*Config!$B$12))/(IF(F149="",0,Config!$B$11)+IF(J149="",0,Config!$B$12)))</f>
        <v/>
      </c>
      <c r="O149" s="11" t="str">
        <f>IF(COUNTA(G149,K149)=0,"",(IF(G149="",0,G149*Config!$B$11)+IF(K149="",0,K149*Config!$B$12))/(IF(G149="",0,Config!$B$11)+IF(K149="",0,Config!$B$12)))</f>
        <v/>
      </c>
      <c r="P149" s="11" t="str">
        <f>IF(COUNTA(H149,L149)=0,"",((IF(H149="No",Config!$B$11,0)+IF(L149="No",Config!$B$12,0))/(IF(H149&lt;&gt;"",Config!$B$11,0)+IF(L149&lt;&gt;"",Config!$B$12,0)))*Config!$B$5)</f>
        <v/>
      </c>
      <c r="Q149" s="12"/>
      <c r="R149" s="12"/>
      <c r="S149" s="10"/>
      <c r="T149" s="13" t="str">
        <f>IF(COUNT(M149:P149)=0,"",M149*Config!$B$2+N149*Config!$B$3+O149*Config!$B$4+P149)</f>
        <v/>
      </c>
      <c r="U149" s="14" t="str">
        <f>IF(T149="","",IF(T149&gt;=Config!$B$7,"MUST SEE",IF(T149&gt;=Config!$B$8,"ALTO",IF(T149&gt;=Config!$B$9,"VALUTA","SKIP"))))</f>
        <v/>
      </c>
      <c r="V149" s="14" t="str">
        <f>IF(T149="","",IF(T149&gt;=Config!$B$9,"SI","NO"))</f>
        <v/>
      </c>
      <c r="W149" s="14" t="str">
        <f t="shared" si="1"/>
        <v/>
      </c>
      <c r="X149" s="14" t="str">
        <f t="shared" si="2"/>
        <v/>
      </c>
      <c r="Z149" s="14" t="s">
        <v>41</v>
      </c>
      <c r="AA149" s="14" t="s">
        <v>197</v>
      </c>
    </row>
    <row r="150" ht="15.75" customHeight="1">
      <c r="A150" s="9">
        <v>46180.0</v>
      </c>
      <c r="B150" s="10" t="s">
        <v>194</v>
      </c>
      <c r="C150" s="10" t="s">
        <v>195</v>
      </c>
      <c r="D150" s="10" t="s">
        <v>199</v>
      </c>
      <c r="E150" s="10"/>
      <c r="F150" s="10"/>
      <c r="G150" s="10"/>
      <c r="H150" s="10"/>
      <c r="I150" s="10"/>
      <c r="J150" s="10"/>
      <c r="K150" s="10"/>
      <c r="L150" s="10"/>
      <c r="M150" s="11" t="str">
        <f>IF(COUNTA(E150,I150)=0,"",(IF(E150="",0,E150*Config!$B$11)+IF(I150="",0,I150*Config!$B$12))/(IF(E150="",0,Config!$B$11)+IF(I150="",0,Config!$B$12)))</f>
        <v/>
      </c>
      <c r="N150" s="11" t="str">
        <f>IF(COUNTA(F150,J150)=0,"",(IF(F150="",0,F150*Config!$B$11)+IF(J150="",0,J150*Config!$B$12))/(IF(F150="",0,Config!$B$11)+IF(J150="",0,Config!$B$12)))</f>
        <v/>
      </c>
      <c r="O150" s="11" t="str">
        <f>IF(COUNTA(G150,K150)=0,"",(IF(G150="",0,G150*Config!$B$11)+IF(K150="",0,K150*Config!$B$12))/(IF(G150="",0,Config!$B$11)+IF(K150="",0,Config!$B$12)))</f>
        <v/>
      </c>
      <c r="P150" s="11" t="str">
        <f>IF(COUNTA(H150,L150)=0,"",((IF(H150="No",Config!$B$11,0)+IF(L150="No",Config!$B$12,0))/(IF(H150&lt;&gt;"",Config!$B$11,0)+IF(L150&lt;&gt;"",Config!$B$12,0)))*Config!$B$5)</f>
        <v/>
      </c>
      <c r="Q150" s="12"/>
      <c r="R150" s="12"/>
      <c r="S150" s="10"/>
      <c r="T150" s="13" t="str">
        <f>IF(COUNT(M150:P150)=0,"",M150*Config!$B$2+N150*Config!$B$3+O150*Config!$B$4+P150)</f>
        <v/>
      </c>
      <c r="U150" s="14" t="str">
        <f>IF(T150="","",IF(T150&gt;=Config!$B$7,"MUST SEE",IF(T150&gt;=Config!$B$8,"ALTO",IF(T150&gt;=Config!$B$9,"VALUTA","SKIP"))))</f>
        <v/>
      </c>
      <c r="V150" s="14" t="str">
        <f>IF(T150="","",IF(T150&gt;=Config!$B$9,"SI","NO"))</f>
        <v/>
      </c>
      <c r="W150" s="14" t="str">
        <f t="shared" si="1"/>
        <v/>
      </c>
      <c r="X150" s="14" t="str">
        <f t="shared" si="2"/>
        <v/>
      </c>
      <c r="Z150" s="14" t="s">
        <v>41</v>
      </c>
      <c r="AA150" s="14" t="s">
        <v>197</v>
      </c>
    </row>
    <row r="151" ht="15.75" customHeight="1">
      <c r="A151" s="9">
        <v>46180.0</v>
      </c>
      <c r="B151" s="10" t="s">
        <v>194</v>
      </c>
      <c r="C151" s="10" t="s">
        <v>195</v>
      </c>
      <c r="D151" s="10" t="s">
        <v>200</v>
      </c>
      <c r="E151" s="10"/>
      <c r="F151" s="10"/>
      <c r="G151" s="10"/>
      <c r="H151" s="10"/>
      <c r="I151" s="10"/>
      <c r="J151" s="10"/>
      <c r="K151" s="10"/>
      <c r="L151" s="10"/>
      <c r="M151" s="11" t="str">
        <f>IF(COUNTA(E151,I151)=0,"",(IF(E151="",0,E151*Config!$B$11)+IF(I151="",0,I151*Config!$B$12))/(IF(E151="",0,Config!$B$11)+IF(I151="",0,Config!$B$12)))</f>
        <v/>
      </c>
      <c r="N151" s="11" t="str">
        <f>IF(COUNTA(F151,J151)=0,"",(IF(F151="",0,F151*Config!$B$11)+IF(J151="",0,J151*Config!$B$12))/(IF(F151="",0,Config!$B$11)+IF(J151="",0,Config!$B$12)))</f>
        <v/>
      </c>
      <c r="O151" s="11" t="str">
        <f>IF(COUNTA(G151,K151)=0,"",(IF(G151="",0,G151*Config!$B$11)+IF(K151="",0,K151*Config!$B$12))/(IF(G151="",0,Config!$B$11)+IF(K151="",0,Config!$B$12)))</f>
        <v/>
      </c>
      <c r="P151" s="11" t="str">
        <f>IF(COUNTA(H151,L151)=0,"",((IF(H151="No",Config!$B$11,0)+IF(L151="No",Config!$B$12,0))/(IF(H151&lt;&gt;"",Config!$B$11,0)+IF(L151&lt;&gt;"",Config!$B$12,0)))*Config!$B$5)</f>
        <v/>
      </c>
      <c r="Q151" s="12"/>
      <c r="R151" s="12"/>
      <c r="S151" s="10"/>
      <c r="T151" s="13" t="str">
        <f>IF(COUNT(M151:P151)=0,"",M151*Config!$B$2+N151*Config!$B$3+O151*Config!$B$4+P151)</f>
        <v/>
      </c>
      <c r="U151" s="14" t="str">
        <f>IF(T151="","",IF(T151&gt;=Config!$B$7,"MUST SEE",IF(T151&gt;=Config!$B$8,"ALTO",IF(T151&gt;=Config!$B$9,"VALUTA","SKIP"))))</f>
        <v/>
      </c>
      <c r="V151" s="14" t="str">
        <f>IF(T151="","",IF(T151&gt;=Config!$B$9,"SI","NO"))</f>
        <v/>
      </c>
      <c r="W151" s="14" t="str">
        <f t="shared" si="1"/>
        <v/>
      </c>
      <c r="X151" s="14" t="str">
        <f t="shared" si="2"/>
        <v/>
      </c>
      <c r="Z151" s="14" t="s">
        <v>41</v>
      </c>
      <c r="AA151" s="14" t="s">
        <v>197</v>
      </c>
    </row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U2:U151">
    <cfRule type="expression" dxfId="4" priority="1">
      <formula>U2="MUST SEE"</formula>
    </cfRule>
  </conditionalFormatting>
  <conditionalFormatting sqref="U2:U151">
    <cfRule type="expression" dxfId="5" priority="2">
      <formula>U2="ALTO"</formula>
    </cfRule>
  </conditionalFormatting>
  <conditionalFormatting sqref="U2:U151">
    <cfRule type="expression" dxfId="6" priority="3">
      <formula>U2="SKIP"</formula>
    </cfRule>
  </conditionalFormatting>
  <conditionalFormatting sqref="V2:V151">
    <cfRule type="expression" dxfId="4" priority="4">
      <formula>V2="SI"</formula>
    </cfRule>
  </conditionalFormatting>
  <conditionalFormatting sqref="W2:W151">
    <cfRule type="expression" dxfId="7" priority="5">
      <formula>W2="CONFLITTO"</formula>
    </cfRule>
  </conditionalFormatting>
  <dataValidations>
    <dataValidation type="decimal" allowBlank="1" sqref="E2:E151 I2:I151">
      <formula1>1.0</formula1>
      <formula2>10.0</formula2>
    </dataValidation>
    <dataValidation type="list" allowBlank="1" sqref="H2:H151 L2:L151">
      <formula1>"No,Sì"</formula1>
    </dataValidation>
    <dataValidation type="custom" allowBlank="1" sqref="Q2:R151">
      <formula1>AND(GTE(Q2,MIN((TIME(0,0,0)),(TIME(23,59,0)))),LTE(Q2,MAX((TIME(0,0,0)),(TIME(23,59,0)))))</formula1>
    </dataValidation>
    <dataValidation type="decimal" allowBlank="1" sqref="F2:G151 J2:K151">
      <formula1>1.0</formula1>
      <formula2>5.0</formula2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EA5E9"/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6" width="14.0"/>
    <col customWidth="1" min="7" max="26" width="8.71"/>
  </cols>
  <sheetData>
    <row r="1">
      <c r="A1" s="1" t="s">
        <v>201</v>
      </c>
      <c r="B1" s="2"/>
      <c r="C1" s="2"/>
      <c r="D1" s="2"/>
      <c r="E1" s="2"/>
      <c r="F1" s="3"/>
    </row>
    <row r="3">
      <c r="A3" s="4" t="s">
        <v>202</v>
      </c>
      <c r="B3" s="16">
        <f>COUNTA(Artisti!D2:D151)</f>
        <v>150</v>
      </c>
    </row>
    <row r="4">
      <c r="A4" s="4" t="s">
        <v>203</v>
      </c>
      <c r="B4" s="16">
        <f>SUMPRODUCT(--(((Artisti!E2:E151&lt;&gt;"")+(Artisti!F2:F151&lt;&gt;"")+(Artisti!G2:G151&lt;&gt;"")+(Artisti!H2:H151&lt;&gt;"")+(Artisti!I2:I151&lt;&gt;"")+(Artisti!J2:J151&lt;&gt;"")+(Artisti!K2:K151&lt;&gt;"")+(Artisti!L2:L151&lt;&gt;""))&gt;0))</f>
        <v>107</v>
      </c>
    </row>
    <row r="5">
      <c r="A5" s="4" t="s">
        <v>204</v>
      </c>
      <c r="B5" s="16">
        <f>COUNTIF(Artisti!U2:U151,"MUST SEE")</f>
        <v>18</v>
      </c>
    </row>
    <row r="6">
      <c r="A6" s="4" t="s">
        <v>205</v>
      </c>
      <c r="B6" s="16">
        <f>COUNTIF(Artisti!V2:V151,"SI")</f>
        <v>47</v>
      </c>
    </row>
    <row r="7">
      <c r="A7" s="4" t="s">
        <v>206</v>
      </c>
      <c r="B7" s="16">
        <f>COUNTIF(Artisti!W2:W151,"CONFLITTO")</f>
        <v>0</v>
      </c>
    </row>
    <row r="8">
      <c r="A8" s="14" t="s">
        <v>207</v>
      </c>
      <c r="B8" s="14">
        <f>IFERROR(AVERAGE(Artisti!E2:E151),"")</f>
        <v>4.75</v>
      </c>
    </row>
    <row r="9">
      <c r="A9" s="14" t="s">
        <v>208</v>
      </c>
      <c r="B9" s="14">
        <f>IFERROR(AVERAGE(Artisti!I2:I151),"")</f>
        <v>6.447368421</v>
      </c>
    </row>
    <row r="10">
      <c r="A10" s="17" t="s">
        <v>209</v>
      </c>
      <c r="B10" s="2"/>
      <c r="C10" s="2"/>
      <c r="D10" s="2"/>
      <c r="E10" s="2"/>
      <c r="F10" s="3"/>
    </row>
    <row r="11">
      <c r="A11" s="18" t="s">
        <v>11</v>
      </c>
      <c r="B11" s="18" t="s">
        <v>210</v>
      </c>
      <c r="C11" s="18" t="s">
        <v>211</v>
      </c>
      <c r="D11" s="18" t="s">
        <v>204</v>
      </c>
      <c r="E11" s="18" t="s">
        <v>212</v>
      </c>
      <c r="F11" s="18" t="s">
        <v>7</v>
      </c>
    </row>
    <row r="12">
      <c r="A12" s="19">
        <v>46176.0</v>
      </c>
      <c r="B12" s="14">
        <f>COUNTIF(Artisti!A2:A151,A12)</f>
        <v>4</v>
      </c>
      <c r="C12" s="14">
        <f>SUMPRODUCT(--(Artisti!A2:A151=A12),--(((Artisti!E2:E151&lt;&gt;"")+(Artisti!F2:F151&lt;&gt;"")+(Artisti!G2:G151&lt;&gt;"")+(Artisti!I2:I151&lt;&gt;"")+(Artisti!J2:J151&lt;&gt;"")+(Artisti!K2:K151&lt;&gt;""))&gt;0))</f>
        <v>0</v>
      </c>
      <c r="D12" s="14">
        <f>COUNTIFS(Artisti!A2:A151,A12,Artisti!U2:U151,"MUST SEE")</f>
        <v>0</v>
      </c>
      <c r="E12" s="14">
        <f>COUNTIFS(Artisti!A2:A151,A12,Artisti!V2:V151,"SI")</f>
        <v>0</v>
      </c>
      <c r="F12" s="14">
        <f>COUNTIFS(Artisti!A2:A151,A12,Artisti!W2:W151,"CONFLITTO")</f>
        <v>0</v>
      </c>
    </row>
    <row r="13">
      <c r="A13" s="19">
        <v>46177.0</v>
      </c>
      <c r="B13" s="14">
        <f>COUNTIF(Artisti!A2:A151,A13)</f>
        <v>47</v>
      </c>
      <c r="C13" s="14">
        <f>SUMPRODUCT(--(Artisti!A2:A151=A13),--(((Artisti!E2:E151&lt;&gt;"")+(Artisti!F2:F151&lt;&gt;"")+(Artisti!G2:G151&lt;&gt;"")+(Artisti!I2:I151&lt;&gt;"")+(Artisti!J2:J151&lt;&gt;"")+(Artisti!K2:K151&lt;&gt;""))&gt;0))</f>
        <v>44</v>
      </c>
      <c r="D13" s="14">
        <f>COUNTIFS(Artisti!A2:A151,A13,Artisti!U2:U151,"MUST SEE")</f>
        <v>4</v>
      </c>
      <c r="E13" s="14">
        <f>COUNTIFS(Artisti!A2:A151,A13,Artisti!V2:V151,"SI")</f>
        <v>28</v>
      </c>
      <c r="F13" s="14">
        <f>COUNTIFS(Artisti!A2:A151,A13,Artisti!W2:W151,"CONFLITTO")</f>
        <v>0</v>
      </c>
    </row>
    <row r="14">
      <c r="A14" s="19">
        <v>46178.0</v>
      </c>
      <c r="B14" s="14">
        <f>COUNTIF(Artisti!A2:A151,A14)</f>
        <v>47</v>
      </c>
      <c r="C14" s="14">
        <f>SUMPRODUCT(--(Artisti!A2:A151=A14),--(((Artisti!E2:E151&lt;&gt;"")+(Artisti!F2:F151&lt;&gt;"")+(Artisti!G2:G151&lt;&gt;"")+(Artisti!I2:I151&lt;&gt;"")+(Artisti!J2:J151&lt;&gt;"")+(Artisti!K2:K151&lt;&gt;""))&gt;0))</f>
        <v>10</v>
      </c>
      <c r="D14" s="14">
        <f>COUNTIFS(Artisti!A2:A151,A14,Artisti!U2:U151,"MUST SEE")</f>
        <v>3</v>
      </c>
      <c r="E14" s="14">
        <f>COUNTIFS(Artisti!A2:A151,A14,Artisti!V2:V151,"SI")</f>
        <v>7</v>
      </c>
      <c r="F14" s="14">
        <f>COUNTIFS(Artisti!A2:A151,A14,Artisti!W2:W151,"CONFLITTO")</f>
        <v>0</v>
      </c>
    </row>
    <row r="15">
      <c r="A15" s="19">
        <v>46179.0</v>
      </c>
      <c r="B15" s="14">
        <f>COUNTIF(Artisti!A2:A151,A15)</f>
        <v>48</v>
      </c>
      <c r="C15" s="14">
        <f>SUMPRODUCT(--(Artisti!A2:A151=A15),--(((Artisti!E2:E151&lt;&gt;"")+(Artisti!F2:F151&lt;&gt;"")+(Artisti!G2:G151&lt;&gt;"")+(Artisti!I2:I151&lt;&gt;"")+(Artisti!J2:J151&lt;&gt;"")+(Artisti!K2:K151&lt;&gt;""))&gt;0))</f>
        <v>13</v>
      </c>
      <c r="D15" s="14">
        <f>COUNTIFS(Artisti!A2:A151,A15,Artisti!U2:U151,"MUST SEE")</f>
        <v>11</v>
      </c>
      <c r="E15" s="14">
        <f>COUNTIFS(Artisti!A2:A151,A15,Artisti!V2:V151,"SI")</f>
        <v>12</v>
      </c>
      <c r="F15" s="14">
        <f>COUNTIFS(Artisti!A2:A151,A15,Artisti!W2:W151,"CONFLITTO")</f>
        <v>0</v>
      </c>
    </row>
    <row r="16">
      <c r="A16" s="19">
        <v>46180.0</v>
      </c>
      <c r="B16" s="14">
        <f>COUNTIF(Artisti!A2:A151,A16)</f>
        <v>4</v>
      </c>
      <c r="C16" s="14">
        <f>SUMPRODUCT(--(Artisti!A2:A151=A16),--(((Artisti!E2:E151&lt;&gt;"")+(Artisti!F2:F151&lt;&gt;"")+(Artisti!G2:G151&lt;&gt;"")+(Artisti!I2:I151&lt;&gt;"")+(Artisti!J2:J151&lt;&gt;"")+(Artisti!K2:K151&lt;&gt;""))&gt;0))</f>
        <v>0</v>
      </c>
      <c r="D16" s="14">
        <f>COUNTIFS(Artisti!A2:A151,A16,Artisti!U2:U151,"MUST SEE")</f>
        <v>0</v>
      </c>
      <c r="E16" s="14">
        <f>COUNTIFS(Artisti!A2:A151,A16,Artisti!V2:V151,"SI")</f>
        <v>0</v>
      </c>
      <c r="F16" s="14">
        <f>COUNTIFS(Artisti!A2:A151,A16,Artisti!W2:W151,"CONFLITTO")</f>
        <v>0</v>
      </c>
    </row>
    <row r="21" ht="36.0" customHeight="1">
      <c r="A21" s="20"/>
    </row>
    <row r="22" ht="24.0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F1"/>
    <mergeCell ref="A10:F10"/>
    <mergeCell ref="A21:F2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EA5E9"/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3" width="55.0"/>
    <col customWidth="1" min="4" max="4" width="10.0"/>
    <col customWidth="1" min="5" max="26" width="8.71"/>
  </cols>
  <sheetData>
    <row r="1">
      <c r="A1" s="21" t="s">
        <v>213</v>
      </c>
      <c r="B1" s="2"/>
      <c r="C1" s="2"/>
      <c r="D1" s="3"/>
    </row>
    <row r="2">
      <c r="A2" s="22" t="s">
        <v>214</v>
      </c>
      <c r="B2" s="23">
        <v>2.0</v>
      </c>
      <c r="C2" s="24" t="s">
        <v>215</v>
      </c>
    </row>
    <row r="3">
      <c r="A3" s="22" t="s">
        <v>216</v>
      </c>
      <c r="B3" s="23">
        <v>2.0</v>
      </c>
      <c r="C3" s="24" t="s">
        <v>217</v>
      </c>
    </row>
    <row r="4">
      <c r="A4" s="22" t="s">
        <v>218</v>
      </c>
      <c r="B4" s="23">
        <v>1.0</v>
      </c>
      <c r="C4" s="24" t="s">
        <v>219</v>
      </c>
    </row>
    <row r="5">
      <c r="A5" s="22" t="s">
        <v>220</v>
      </c>
      <c r="B5" s="23">
        <v>1.0</v>
      </c>
      <c r="C5" s="24" t="s">
        <v>221</v>
      </c>
    </row>
    <row r="6">
      <c r="A6" s="14" t="s">
        <v>222</v>
      </c>
      <c r="B6" s="14" t="s">
        <v>222</v>
      </c>
      <c r="C6" s="14" t="s">
        <v>222</v>
      </c>
    </row>
    <row r="7">
      <c r="A7" s="22" t="s">
        <v>223</v>
      </c>
      <c r="B7" s="25">
        <v>24.0</v>
      </c>
      <c r="C7" s="24" t="s">
        <v>224</v>
      </c>
    </row>
    <row r="8">
      <c r="A8" s="22" t="s">
        <v>225</v>
      </c>
      <c r="B8" s="25">
        <v>18.0</v>
      </c>
      <c r="C8" s="24" t="s">
        <v>226</v>
      </c>
    </row>
    <row r="9">
      <c r="A9" s="22" t="s">
        <v>227</v>
      </c>
      <c r="B9" s="25">
        <v>13.0</v>
      </c>
      <c r="C9" s="24" t="s">
        <v>228</v>
      </c>
    </row>
    <row r="10">
      <c r="A10" s="14" t="s">
        <v>222</v>
      </c>
      <c r="B10" s="14" t="s">
        <v>222</v>
      </c>
      <c r="C10" s="14" t="s">
        <v>222</v>
      </c>
    </row>
    <row r="11">
      <c r="A11" s="14" t="s">
        <v>229</v>
      </c>
      <c r="B11" s="14">
        <v>1.0</v>
      </c>
      <c r="C11" s="14" t="s">
        <v>230</v>
      </c>
    </row>
    <row r="12">
      <c r="A12" s="26" t="s">
        <v>231</v>
      </c>
      <c r="B12" s="14">
        <v>1.0</v>
      </c>
      <c r="C12" s="14" t="s">
        <v>232</v>
      </c>
    </row>
    <row r="13">
      <c r="B13" s="27"/>
    </row>
    <row r="14">
      <c r="B14" s="27"/>
    </row>
    <row r="15">
      <c r="B15" s="27"/>
    </row>
    <row r="16">
      <c r="B16" s="27"/>
    </row>
    <row r="17">
      <c r="B17" s="2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